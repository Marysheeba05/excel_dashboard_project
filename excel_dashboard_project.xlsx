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C drive Data\Desktop\Github Uploaded Projects\Excel Projects\"/>
    </mc:Choice>
  </mc:AlternateContent>
  <xr:revisionPtr revIDLastSave="0" documentId="8_{4ED05E31-B559-4B56-B6F9-7CFD2431E00D}" xr6:coauthVersionLast="47" xr6:coauthVersionMax="47" xr10:uidLastSave="{00000000-0000-0000-0000-000000000000}"/>
  <bookViews>
    <workbookView xWindow="-108" yWindow="-108" windowWidth="23256" windowHeight="12456" firstSheet="1" activeTab="1" xr2:uid="{00000000-000D-0000-FFFF-FFFF00000000}"/>
  </bookViews>
  <sheets>
    <sheet name="Sheet7" sheetId="7" state="hidden" r:id="rId1"/>
    <sheet name="Dashboard" sheetId="2" r:id="rId2"/>
    <sheet name="Data" sheetId="1" r:id="rId3"/>
    <sheet name="Sheet6" sheetId="6" state="hidden" r:id="rId4"/>
    <sheet name="Pivot Tables" sheetId="8" r:id="rId5"/>
  </sheets>
  <definedNames>
    <definedName name="Slicer_Cuisine_Type">#N/A</definedName>
    <definedName name="Slicer_Customer_Location">#N/A</definedName>
    <definedName name="Slicer_Order_Date">#N/A</definedName>
    <definedName name="Slicer_Payment_Method">#N/A</definedName>
    <definedName name="Slicer_Restaurant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2" i="1" l="1"/>
  <c r="N9" i="1"/>
  <c r="N6" i="1"/>
  <c r="N3" i="1"/>
</calcChain>
</file>

<file path=xl/sharedStrings.xml><?xml version="1.0" encoding="utf-8"?>
<sst xmlns="http://schemas.openxmlformats.org/spreadsheetml/2006/main" count="1273" uniqueCount="260">
  <si>
    <t>Order ID</t>
  </si>
  <si>
    <t>Order Date</t>
  </si>
  <si>
    <t>Restaurant Name</t>
  </si>
  <si>
    <t>Cuisine Type</t>
  </si>
  <si>
    <t>Customer Location</t>
  </si>
  <si>
    <t>Order Value (₹)</t>
  </si>
  <si>
    <t>Discount (₹)</t>
  </si>
  <si>
    <t>Final Amount (₹)</t>
  </si>
  <si>
    <t>Payment Method</t>
  </si>
  <si>
    <t>Delivery Time (Minutes)</t>
  </si>
  <si>
    <t>Order Status</t>
  </si>
  <si>
    <t>ORD1000</t>
  </si>
  <si>
    <t>Biryani House</t>
  </si>
  <si>
    <t>Indian</t>
  </si>
  <si>
    <t>Mumbai</t>
  </si>
  <si>
    <t>Wallet</t>
  </si>
  <si>
    <t>Cancelled</t>
  </si>
  <si>
    <t>ORD1001</t>
  </si>
  <si>
    <t>Domino's</t>
  </si>
  <si>
    <t>Chinese</t>
  </si>
  <si>
    <t>Hyderabad</t>
  </si>
  <si>
    <t>Delivered</t>
  </si>
  <si>
    <t>ORD1002</t>
  </si>
  <si>
    <t>KFC</t>
  </si>
  <si>
    <t>UPI</t>
  </si>
  <si>
    <t>ORD1003</t>
  </si>
  <si>
    <t>McDonald's</t>
  </si>
  <si>
    <t>Burgers</t>
  </si>
  <si>
    <t>Bangalore</t>
  </si>
  <si>
    <t>Card</t>
  </si>
  <si>
    <t>ORD1004</t>
  </si>
  <si>
    <t>Pune</t>
  </si>
  <si>
    <t>ORD1005</t>
  </si>
  <si>
    <t>ORD1006</t>
  </si>
  <si>
    <t>Cafe Coffee Day</t>
  </si>
  <si>
    <t>Delhi</t>
  </si>
  <si>
    <t>ORD1007</t>
  </si>
  <si>
    <t>ORD1008</t>
  </si>
  <si>
    <t>Subway</t>
  </si>
  <si>
    <t>ORD1009</t>
  </si>
  <si>
    <t>ORD1010</t>
  </si>
  <si>
    <t>COD</t>
  </si>
  <si>
    <t>ORD1011</t>
  </si>
  <si>
    <t>Pizza Hut</t>
  </si>
  <si>
    <t>ORD1012</t>
  </si>
  <si>
    <t>ORD1013</t>
  </si>
  <si>
    <t>Pizza</t>
  </si>
  <si>
    <t>Chennai</t>
  </si>
  <si>
    <t>ORD1014</t>
  </si>
  <si>
    <t>ORD1015</t>
  </si>
  <si>
    <t>ORD1016</t>
  </si>
  <si>
    <t>ORD1017</t>
  </si>
  <si>
    <t>Snacks</t>
  </si>
  <si>
    <t>ORD1018</t>
  </si>
  <si>
    <t>Burger King</t>
  </si>
  <si>
    <t>ORD1019</t>
  </si>
  <si>
    <t>Cafe</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</si>
  <si>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</si>
  <si>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</si>
  <si>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</si>
  <si>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</si>
  <si>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</si>
  <si>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</si>
  <si>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</si>
  <si>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</si>
  <si>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</si>
  <si>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</si>
  <si>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</si>
  <si>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</si>
  <si>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</si>
  <si>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</si>
  <si>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</si>
  <si>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</si>
  <si>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</si>
  <si>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</si>
  <si>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</si>
  <si>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</si>
  <si>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</si>
  <si>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</si>
  <si>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</si>
  <si>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</si>
  <si>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</si>
  <si>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</si>
  <si>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</si>
  <si>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</si>
  <si>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</si>
  <si>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</si>
  <si>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</si>
  <si>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</si>
  <si>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</si>
  <si>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</si>
  <si>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</si>
  <si>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</si>
  <si>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</si>
  <si>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</si>
  <si>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</si>
  <si>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</si>
  <si>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</si>
  <si>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</si>
  <si>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</si>
  <si>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</si>
  <si>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</si>
  <si>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</si>
  <si>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</si>
  <si>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</si>
  <si>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</si>
  <si>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</si>
  <si>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</si>
  <si>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</si>
  <si>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</si>
  <si>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</si>
  <si>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</si>
  <si>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</si>
  <si>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</si>
  <si>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</si>
  <si>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</si>
  <si>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</si>
  <si>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</si>
  <si>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</si>
  <si>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</si>
  <si>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</si>
  <si>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</si>
  <si>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</si>
  <si>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</si>
  <si>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</si>
  <si>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</si>
  <si>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</si>
  <si>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</si>
  <si>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</si>
  <si>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</si>
  <si>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</si>
  <si>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</si>
  <si>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</si>
  <si>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</si>
  <si>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</si>
  <si>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</si>
  <si>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</si>
  <si>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</si>
  <si>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</si>
  <si>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</si>
  <si>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</si>
  <si>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</si>
  <si>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</si>
  <si>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</si>
  <si>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</si>
  <si>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</si>
  <si>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</si>
  <si>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</si>
  <si>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</si>
  <si>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</si>
  <si>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</si>
  <si>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</si>
  <si>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</si>
  <si>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</si>
  <si>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</si>
  <si>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</si>
  <si>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</si>
  <si>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</si>
  <si>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</si>
  <si>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</si>
  <si>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</si>
  <si>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</si>
  <si>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</si>
  <si>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</si>
  <si>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</si>
  <si>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</si>
  <si>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</si>
  <si>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</si>
  <si>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</si>
  <si>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</si>
  <si>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</si>
  <si>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</si>
  <si>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</si>
  <si>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</si>
  <si>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</si>
  <si>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</si>
  <si>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</si>
  <si>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</si>
  <si>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</si>
  <si>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</si>
  <si>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</si>
  <si>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</si>
  <si>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</si>
  <si>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</si>
  <si>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</si>
  <si>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</si>
  <si>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</si>
  <si>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</si>
  <si>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</si>
  <si>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</si>
  <si>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</si>
  <si>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</si>
  <si>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</si>
  <si>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</si>
  <si>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</si>
  <si>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</si>
  <si>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</si>
  <si>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</si>
  <si>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</si>
  <si>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</si>
  <si>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</si>
  <si>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</si>
  <si>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</si>
  <si>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</si>
  <si>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</si>
  <si>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</si>
  <si>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</si>
  <si>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</si>
  <si>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</si>
  <si>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</si>
  <si>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</si>
  <si>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</si>
  <si>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</si>
  <si>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</si>
  <si>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</si>
  <si>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</si>
  <si>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</si>
  <si>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</si>
  <si>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</si>
  <si>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</si>
  <si>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</si>
  <si>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</si>
  <si>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</si>
  <si>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</si>
  <si>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</si>
  <si>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</si>
  <si>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</si>
  <si>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</si>
  <si>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</si>
  <si>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</si>
  <si>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</si>
  <si>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</si>
  <si>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</si>
  <si>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</si>
  <si>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</si>
  <si>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</si>
  <si>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</si>
  <si>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v</t>
  </si>
  <si>
    <t>Count of Final Amount (₹)</t>
  </si>
  <si>
    <t>x</t>
  </si>
  <si>
    <t>PIVOT TABLES</t>
  </si>
  <si>
    <t>Total Sales</t>
  </si>
  <si>
    <t>SUM(Orders­_data[Final Amount (₹)]</t>
  </si>
  <si>
    <t>COUNTA(Orders­_data[Order ID])</t>
  </si>
  <si>
    <t>Total Orders</t>
  </si>
  <si>
    <t>Average Delivery Time</t>
  </si>
  <si>
    <t>Average Order Value</t>
  </si>
  <si>
    <t>AVERAGE(Orders­_data[Final Amount (₹)])</t>
  </si>
  <si>
    <t>AVERAGE(Orders­_data[Delivery Time (Minutes)])</t>
  </si>
  <si>
    <t>Feb</t>
  </si>
  <si>
    <t>Mar</t>
  </si>
  <si>
    <t>Grand Total</t>
  </si>
  <si>
    <t>Sum of Final Amount (₹)</t>
  </si>
  <si>
    <t>sales turnover</t>
  </si>
  <si>
    <t>Count of Order ID</t>
  </si>
  <si>
    <t>orders by payment method</t>
  </si>
  <si>
    <t>Top Restaurants by Sales</t>
  </si>
  <si>
    <t>Cuisine Popularity</t>
  </si>
  <si>
    <t>Orders by Location</t>
  </si>
  <si>
    <t>Delivered vs Cancelled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</si>
</sst>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4009]dddd\,\ d\ mmmm\,\ yyyy;@"/>
    <numFmt numFmtId="165" formatCode="[$-14009]dd/mm/yyyy;@"/>
  </numFmts>
  <fonts count="6" x14ac:knownFonts="1">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b/>
      <sz val="36"/>
      <color theme="0"/>
      <name val="Agency FB"/>
      <family val="2"/>
    </font>
  </fonts>
  <fills count="4">
    <fill>
      <patternFill patternType="none"/>
    </fill>
    <fill>
      <patternFill patternType="gray125"/>
    </fill>
    <fill>
      <patternFill patternType="solid">
        <fgColor theme="6" tint="0.39997558519241921"/>
        <bgColor indexed="64"/>
      </patternFill>
    </fill>
    <fill>
      <patternFill patternType="solid">
        <fgColor rgb="FFFC8019"/>
        <bgColor indexed="64"/>
      </patternFill>
    </fill>
  </fills>
  <borders count="1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rgb="FFFFFFFF"/>
      </bottom>
      <diagonal/>
    </border>
    <border>
      <left style="thin">
        <color rgb="FFFFFFFF"/>
      </left>
      <right/>
      <top/>
      <bottom/>
      <diagonal/>
    </border>
    <border>
      <left/>
      <right/>
      <top style="double">
        <color rgb="FFFFFFFF"/>
      </top>
      <bottom/>
      <diagonal/>
    </border>
    <border>
      <left style="double">
        <color rgb="FFFFFFFF"/>
      </left>
      <right style="thin">
        <color indexed="64"/>
      </right>
      <top style="thin">
        <color indexed="64"/>
      </top>
      <bottom style="thin">
        <color indexed="64"/>
      </bottom>
      <diagonal/>
    </border>
    <border>
      <left style="double">
        <color rgb="FFFFFFFF"/>
      </left>
      <right style="thin">
        <color indexed="64"/>
      </right>
      <top style="double">
        <color rgb="FFFFFFFF"/>
      </top>
      <bottom style="thin">
        <color indexed="64"/>
      </bottom>
      <diagonal/>
    </border>
    <border>
      <left style="thin">
        <color indexed="64"/>
      </left>
      <right style="thin">
        <color indexed="64"/>
      </right>
      <top style="double">
        <color rgb="FFFFFFFF"/>
      </top>
      <bottom style="thin">
        <color indexed="64"/>
      </bottom>
      <diagonal/>
    </border>
    <border>
      <left style="double">
        <color rgb="FFFFFFFF"/>
      </left>
      <right style="thin">
        <color indexed="64"/>
      </right>
      <top style="thin">
        <color indexed="64"/>
      </top>
      <bottom style="double">
        <color rgb="FFFFFFFF"/>
      </bottom>
      <diagonal/>
    </border>
    <border>
      <left style="thin">
        <color indexed="64"/>
      </left>
      <right style="thin">
        <color indexed="64"/>
      </right>
      <top style="thin">
        <color indexed="64"/>
      </top>
      <bottom style="double">
        <color rgb="FFFFFFFF"/>
      </bottom>
      <diagonal/>
    </border>
    <border>
      <left style="double">
        <color rgb="FFFFFFFF"/>
      </left>
      <right/>
      <top/>
      <bottom/>
      <diagonal/>
    </border>
    <border>
      <left style="thin">
        <color indexed="64"/>
      </left>
      <right/>
      <top style="thin">
        <color indexed="64"/>
      </top>
      <bottom style="thin">
        <color indexed="64"/>
      </bottom>
      <diagonal/>
    </border>
    <border>
      <left style="thin">
        <color indexed="64"/>
      </left>
      <right/>
      <top style="double">
        <color rgb="FFFFFFFF"/>
      </top>
      <bottom style="thin">
        <color indexed="64"/>
      </bottom>
      <diagonal/>
    </border>
    <border>
      <left style="thin">
        <color indexed="64"/>
      </left>
      <right/>
      <top style="thin">
        <color indexed="64"/>
      </top>
      <bottom style="double">
        <color rgb="FFFFFFFF"/>
      </bottom>
      <diagonal/>
    </border>
    <border>
      <left/>
      <right style="double">
        <color rgb="FFFFFFFF"/>
      </right>
      <top/>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1" fillId="0" borderId="1" xfId="0" applyFont="1" applyBorder="1" applyAlignment="1">
      <alignment horizontal="center" vertical="top"/>
    </xf>
    <xf numFmtId="0" fontId="3" fillId="0" borderId="2" xfId="0" applyFont="1" applyBorder="1"/>
    <xf numFmtId="0" fontId="4" fillId="0" borderId="2" xfId="0" applyFont="1" applyBorder="1"/>
    <xf numFmtId="165" fontId="0" fillId="0" borderId="0" xfId="0" applyNumberFormat="1" applyAlignment="1">
      <alignment horizontal="left"/>
    </xf>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12" xfId="0" applyBorder="1"/>
    <xf numFmtId="0" fontId="0" fillId="0" borderId="16" xfId="0" applyBorder="1"/>
    <xf numFmtId="0" fontId="3" fillId="2" borderId="2" xfId="0" applyFont="1" applyFill="1" applyBorder="1" applyAlignment="1">
      <alignment horizont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5" xfId="0" applyFont="1" applyFill="1" applyBorder="1" applyAlignment="1">
      <alignment horizontal="center" vertical="center"/>
    </xf>
  </cellXfs>
  <cellStyles count="1">
    <cellStyle name="Normal" xfId="0" builtinId="0"/>
  </cellStyles>
  <dxfs count="6">
    <dxf>
      <numFmt numFmtId="165" formatCode="[$-14009]dd/mm/yyyy;@"/>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b/>
        <i val="0"/>
        <sz val="9"/>
        <color theme="5"/>
        <name val="Agency FB"/>
        <family val="2"/>
        <scheme val="none"/>
      </font>
      <border>
        <bottom style="thin">
          <color theme="5"/>
        </bottom>
        <vertical/>
        <horizontal/>
      </border>
    </dxf>
    <dxf>
      <font>
        <b/>
        <i val="0"/>
        <color rgb="FFFCA65E"/>
        <name val="Agency FB"/>
        <family val="2"/>
        <scheme val="none"/>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licerStyleLight2 2" pivot="0" table="0" count="10" xr9:uid="{0FE55F52-DDB4-42C4-913D-1672AC11A9CB}">
      <tableStyleElement type="wholeTable" dxfId="5"/>
      <tableStyleElement type="headerRow" dxfId="4"/>
    </tableStyle>
  </tableStyles>
  <colors>
    <mruColors>
      <color rgb="FFFFFFFF"/>
      <color rgb="FFFC8019"/>
      <color rgb="FFFCA65E"/>
      <color rgb="FFF27004"/>
      <color rgb="FFFD913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FCA65E"/>
            <name val="Agency FB"/>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val="0"/>
            <i val="0"/>
            <color rgb="FFFCA65E"/>
            <name val="Agency FB"/>
            <family val="2"/>
            <scheme val="none"/>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Tables!PivotTable2</c:name>
    <c:fmtId val="8"/>
  </c:pivotSource>
  <c:chart>
    <c:title>
      <c:tx>
        <c:rich>
          <a:bodyPr rot="0" spcFirstLastPara="1" vertOverflow="ellipsis" vert="horz" wrap="square" anchor="ctr" anchorCtr="1"/>
          <a:lstStyle/>
          <a:p>
            <a:pPr>
              <a:defRPr sz="1400" b="1" i="0" u="sng" strike="noStrike" kern="1200" baseline="0">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400" b="1" u="sng">
                <a:solidFill>
                  <a:schemeClr val="bg1"/>
                </a:solidFill>
                <a:effectLst>
                  <a:outerShdw blurRad="50800" dist="38100" dir="5400000" algn="t" rotWithShape="0">
                    <a:prstClr val="black">
                      <a:alpha val="40000"/>
                    </a:prstClr>
                  </a:outerShdw>
                </a:effectLst>
                <a:latin typeface="Agency FB" panose="020B0503020202020204" pitchFamily="34" charset="0"/>
              </a:rPr>
              <a:t>Orders by Payment</a:t>
            </a:r>
            <a:endParaRPr lang="en-US" sz="1400" b="1" u="sng">
              <a:solidFill>
                <a:schemeClr val="bg1"/>
              </a:solidFill>
              <a:effectLst>
                <a:outerShdw blurRad="50800" dist="38100" dir="5400000" algn="t" rotWithShape="0">
                  <a:prstClr val="black">
                    <a:alpha val="40000"/>
                  </a:prstClr>
                </a:outerShdw>
              </a:effectLst>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1" i="0" u="sng" strike="noStrike" kern="1200" baseline="0">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doughnutChart>
        <c:varyColors val="1"/>
        <c:ser>
          <c:idx val="0"/>
          <c:order val="0"/>
          <c:tx>
            <c:strRef>
              <c:f>'Pivot Tables'!$F$6</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0E1D-4B33-BB8E-F6B12C1796B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0E1D-4B33-BB8E-F6B12C1796B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0E1D-4B33-BB8E-F6B12C1796B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0E1D-4B33-BB8E-F6B12C1796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Tables'!$E$7:$E$11</c:f>
              <c:strCache>
                <c:ptCount val="4"/>
                <c:pt idx="0">
                  <c:v>Card</c:v>
                </c:pt>
                <c:pt idx="1">
                  <c:v>COD</c:v>
                </c:pt>
                <c:pt idx="2">
                  <c:v>UPI</c:v>
                </c:pt>
                <c:pt idx="3">
                  <c:v>Wallet</c:v>
                </c:pt>
              </c:strCache>
            </c:strRef>
          </c:cat>
          <c:val>
            <c:numRef>
              <c:f>'Pivot Tables'!$F$7:$F$11</c:f>
              <c:numCache>
                <c:formatCode>General</c:formatCode>
                <c:ptCount val="4"/>
                <c:pt idx="0">
                  <c:v>44</c:v>
                </c:pt>
                <c:pt idx="1">
                  <c:v>52</c:v>
                </c:pt>
                <c:pt idx="2">
                  <c:v>47</c:v>
                </c:pt>
                <c:pt idx="3">
                  <c:v>57</c:v>
                </c:pt>
              </c:numCache>
            </c:numRef>
          </c:val>
          <c:extLst>
            <c:ext xmlns:c16="http://schemas.microsoft.com/office/drawing/2014/chart" uri="{C3380CC4-5D6E-409C-BE32-E72D297353CC}">
              <c16:uniqueId val="{00000008-0E1D-4B33-BB8E-F6B12C1796B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gency FB" panose="020B0503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A65E"/>
    </a:solidFill>
    <a:ln w="9525" cap="flat" cmpd="sng" algn="ctr">
      <a:solidFill>
        <a:schemeClr val="tx2">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Tables!PivotTable4</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sng" strike="noStrike" baseline="0">
                <a:solidFill>
                  <a:schemeClr val="bg1"/>
                </a:solidFill>
                <a:effectLst>
                  <a:outerShdw blurRad="50800" dist="38100" dir="5400000" algn="t" rotWithShape="0">
                    <a:prstClr val="black">
                      <a:alpha val="40000"/>
                    </a:prstClr>
                  </a:outerShdw>
                </a:effectLst>
                <a:latin typeface="Agency FB" panose="020B0503020202020204" pitchFamily="34" charset="0"/>
              </a:rPr>
              <a:t>Top Restaurants by Sales</a:t>
            </a:r>
            <a:endParaRPr lang="en-US" sz="1600" b="1" u="sng">
              <a:solidFill>
                <a:schemeClr val="bg1"/>
              </a:solidFill>
              <a:effectLst>
                <a:outerShdw blurRad="50800" dist="38100" dir="5400000" algn="t" rotWithShape="0">
                  <a:prstClr val="black">
                    <a:alpha val="40000"/>
                  </a:prstClr>
                </a:outerShdw>
              </a:effectLst>
              <a:latin typeface="Agency FB" panose="020B0503020202020204" pitchFamily="34" charset="0"/>
            </a:endParaRPr>
          </a:p>
        </c:rich>
      </c:tx>
      <c:layout>
        <c:manualLayout>
          <c:xMode val="edge"/>
          <c:yMode val="edge"/>
          <c:x val="0.30115097843614802"/>
          <c:y val="0.1605446338628804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7004"/>
          </a:solidFill>
          <a:ln>
            <a:noFill/>
          </a:ln>
          <a:effectLst>
            <a:outerShdw blurRad="50800" dist="50800" dir="5400000" algn="ctr" rotWithShape="0">
              <a:schemeClr val="bg1">
                <a:lumMod val="65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27004"/>
          </a:solidFill>
          <a:ln>
            <a:noFill/>
          </a:ln>
          <a:effectLst>
            <a:outerShdw blurRad="50800" dist="50800" dir="5400000" algn="ctr" rotWithShape="0">
              <a:schemeClr val="bg1">
                <a:lumMod val="65000"/>
              </a:schemeClr>
            </a:outerShdw>
          </a:effectLst>
          <a:sp3d/>
        </c:spPr>
      </c:pivotFmt>
    </c:pivotFmts>
    <c:view3D>
      <c:rotX val="-90"/>
      <c:rotY val="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Tables'!$I$6</c:f>
              <c:strCache>
                <c:ptCount val="1"/>
                <c:pt idx="0">
                  <c:v>Total</c:v>
                </c:pt>
              </c:strCache>
            </c:strRef>
          </c:tx>
          <c:spPr>
            <a:solidFill>
              <a:srgbClr val="F27004"/>
            </a:solidFill>
            <a:ln>
              <a:noFill/>
            </a:ln>
            <a:effectLst>
              <a:outerShdw blurRad="50800" dist="50800" dir="5400000" algn="ctr" rotWithShape="0">
                <a:schemeClr val="bg1">
                  <a:lumMod val="65000"/>
                </a:schemeClr>
              </a:outerShdw>
            </a:effectLst>
            <a:sp3d/>
          </c:spPr>
          <c:invertIfNegative val="0"/>
          <c:cat>
            <c:strRef>
              <c:f>'Pivot Tables'!$H$7:$H$12</c:f>
              <c:strCache>
                <c:ptCount val="5"/>
                <c:pt idx="0">
                  <c:v>Subway</c:v>
                </c:pt>
                <c:pt idx="1">
                  <c:v>Pizza Hut</c:v>
                </c:pt>
                <c:pt idx="2">
                  <c:v>McDonald's</c:v>
                </c:pt>
                <c:pt idx="3">
                  <c:v>KFC</c:v>
                </c:pt>
                <c:pt idx="4">
                  <c:v>Domino's</c:v>
                </c:pt>
              </c:strCache>
            </c:strRef>
          </c:cat>
          <c:val>
            <c:numRef>
              <c:f>'Pivot Tables'!$I$7:$I$12</c:f>
              <c:numCache>
                <c:formatCode>General</c:formatCode>
                <c:ptCount val="5"/>
                <c:pt idx="0">
                  <c:v>13956</c:v>
                </c:pt>
                <c:pt idx="1">
                  <c:v>19960</c:v>
                </c:pt>
                <c:pt idx="2">
                  <c:v>21218</c:v>
                </c:pt>
                <c:pt idx="3">
                  <c:v>14995</c:v>
                </c:pt>
                <c:pt idx="4">
                  <c:v>21098</c:v>
                </c:pt>
              </c:numCache>
            </c:numRef>
          </c:val>
          <c:extLst>
            <c:ext xmlns:c16="http://schemas.microsoft.com/office/drawing/2014/chart" uri="{C3380CC4-5D6E-409C-BE32-E72D297353CC}">
              <c16:uniqueId val="{00000000-3563-4F7E-9F17-B0C10BB28148}"/>
            </c:ext>
          </c:extLst>
        </c:ser>
        <c:dLbls>
          <c:showLegendKey val="0"/>
          <c:showVal val="0"/>
          <c:showCatName val="0"/>
          <c:showSerName val="0"/>
          <c:showPercent val="0"/>
          <c:showBubbleSize val="0"/>
        </c:dLbls>
        <c:gapWidth val="302"/>
        <c:shape val="pyramid"/>
        <c:axId val="2029913375"/>
        <c:axId val="2029914623"/>
        <c:axId val="0"/>
      </c:bar3DChart>
      <c:catAx>
        <c:axId val="202991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gency FB" panose="020B0503020202020204" pitchFamily="34" charset="0"/>
                <a:ea typeface="+mn-ea"/>
                <a:cs typeface="+mn-cs"/>
              </a:defRPr>
            </a:pPr>
            <a:endParaRPr lang="en-US"/>
          </a:p>
        </c:txPr>
        <c:crossAx val="2029914623"/>
        <c:crosses val="autoZero"/>
        <c:auto val="1"/>
        <c:lblAlgn val="ctr"/>
        <c:lblOffset val="100"/>
        <c:noMultiLvlLbl val="0"/>
      </c:catAx>
      <c:valAx>
        <c:axId val="2029914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913375"/>
        <c:crosses val="autoZero"/>
        <c:crossBetween val="between"/>
      </c:valAx>
      <c:spPr>
        <a:noFill/>
        <a:ln>
          <a:solidFill>
            <a:srgbClr val="C00000">
              <a:alpha val="0"/>
            </a:srgbClr>
          </a:solid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Agency FB" panose="020B0503020202020204"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A65E"/>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Tables!PivotTable7</c:name>
    <c:fmtId val="7"/>
  </c:pivotSource>
  <c:chart>
    <c:title>
      <c:tx>
        <c:rich>
          <a:bodyPr rot="0" spcFirstLastPara="1" vertOverflow="ellipsis" vert="horz" wrap="square" anchor="ctr" anchorCtr="1"/>
          <a:lstStyle/>
          <a:p>
            <a:pPr>
              <a:defRPr sz="1800" b="1" i="0" u="none" strike="noStrike" kern="12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400" u="sng">
                <a:solidFill>
                  <a:schemeClr val="bg1"/>
                </a:solidFill>
                <a:effectLst>
                  <a:outerShdw blurRad="50800" dist="38100" dir="5400000" algn="t" rotWithShape="0">
                    <a:prstClr val="black">
                      <a:alpha val="40000"/>
                    </a:prstClr>
                  </a:outerShdw>
                </a:effectLst>
                <a:latin typeface="Agency FB" panose="020B0503020202020204" pitchFamily="34" charset="0"/>
              </a:rPr>
              <a:t>Cuisine Popularity</a:t>
            </a:r>
            <a:endParaRPr lang="en-US" sz="1400" u="sng">
              <a:solidFill>
                <a:schemeClr val="bg1"/>
              </a:solidFill>
              <a:effectLst>
                <a:outerShdw blurRad="50800" dist="38100" dir="5400000" algn="t" rotWithShape="0">
                  <a:prstClr val="black">
                    <a:alpha val="40000"/>
                  </a:prstClr>
                </a:outerShdw>
              </a:effectLst>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Tables'!$C$14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F4-4368-95A2-6D7864782FD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F4-4368-95A2-6D7864782FD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0F4-4368-95A2-6D7864782FD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0F4-4368-95A2-6D7864782FD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0F4-4368-95A2-6D7864782FD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0F4-4368-95A2-6D7864782F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Tables'!$B$15:$B$21</c:f>
              <c:strCache>
                <c:ptCount val="6"/>
                <c:pt idx="0">
                  <c:v>Burgers</c:v>
                </c:pt>
                <c:pt idx="1">
                  <c:v>Cafe</c:v>
                </c:pt>
                <c:pt idx="2">
                  <c:v>Chinese</c:v>
                </c:pt>
                <c:pt idx="3">
                  <c:v>Indian</c:v>
                </c:pt>
                <c:pt idx="4">
                  <c:v>Pizza</c:v>
                </c:pt>
                <c:pt idx="5">
                  <c:v>Snacks</c:v>
                </c:pt>
              </c:strCache>
            </c:strRef>
          </c:cat>
          <c:val>
            <c:numRef>
              <c:f>'Pivot Tables'!$C$15:$C$21</c:f>
              <c:numCache>
                <c:formatCode>General</c:formatCode>
                <c:ptCount val="6"/>
                <c:pt idx="0">
                  <c:v>27</c:v>
                </c:pt>
                <c:pt idx="1">
                  <c:v>33</c:v>
                </c:pt>
                <c:pt idx="2">
                  <c:v>38</c:v>
                </c:pt>
                <c:pt idx="3">
                  <c:v>37</c:v>
                </c:pt>
                <c:pt idx="4">
                  <c:v>33</c:v>
                </c:pt>
                <c:pt idx="5">
                  <c:v>32</c:v>
                </c:pt>
              </c:numCache>
            </c:numRef>
          </c:val>
          <c:extLst>
            <c:ext xmlns:c16="http://schemas.microsoft.com/office/drawing/2014/chart" uri="{C3380CC4-5D6E-409C-BE32-E72D297353CC}">
              <c16:uniqueId val="{00000000-73A3-4888-8EB8-AFBBAAFD064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gency FB" panose="020B0503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A65E"/>
    </a:solidFill>
    <a:ln w="9525" cap="flat" cmpd="sng" algn="ctr">
      <a:solidFill>
        <a:schemeClr val="dk1">
          <a:lumMod val="25000"/>
          <a:lumOff val="75000"/>
        </a:schemeClr>
      </a:solidFill>
      <a:round/>
    </a:ln>
    <a:effectLst/>
    <a:scene3d>
      <a:camera prst="orthographicFront"/>
      <a:lightRig rig="threePt" dir="t"/>
    </a:scene3d>
    <a:sp3d>
      <a:bevelT w="190500" h="38100"/>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solidFill>
                  <a:schemeClr val="bg1"/>
                </a:solidFill>
                <a:effectLst>
                  <a:outerShdw blurRad="50800" dist="38100" dir="5400000" algn="t" rotWithShape="0">
                    <a:prstClr val="black">
                      <a:alpha val="40000"/>
                    </a:prstClr>
                  </a:outerShdw>
                </a:effectLst>
                <a:latin typeface="Agency FB" panose="020B0503020202020204" pitchFamily="34" charset="0"/>
              </a:rPr>
              <a:t> Orders by Location</a:t>
            </a:r>
            <a:endParaRPr lang="en-US" b="1" u="sng">
              <a:solidFill>
                <a:schemeClr val="bg1"/>
              </a:solidFill>
              <a:effectLst>
                <a:outerShdw blurRad="50800" dist="38100" dir="5400000" algn="t" rotWithShape="0">
                  <a:prstClr val="black">
                    <a:alpha val="40000"/>
                  </a:prstClr>
                </a:outerShdw>
              </a:effectLst>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7004"/>
          </a:solidFill>
          <a:ln>
            <a:solidFill>
              <a:srgbClr val="F27004"/>
            </a:solidFill>
            <a:prstDash val="sysDash"/>
            <a:round/>
          </a:ln>
          <a:effectLst/>
          <a:scene3d>
            <a:camera prst="orthographicFront"/>
            <a:lightRig rig="threePt" dir="t"/>
          </a:scene3d>
          <a:sp3d>
            <a:bevelT w="1143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Tables'!$F$14</c:f>
              <c:strCache>
                <c:ptCount val="1"/>
                <c:pt idx="0">
                  <c:v>Total</c:v>
                </c:pt>
              </c:strCache>
            </c:strRef>
          </c:tx>
          <c:spPr>
            <a:solidFill>
              <a:srgbClr val="F27004"/>
            </a:solidFill>
            <a:ln>
              <a:solidFill>
                <a:srgbClr val="F27004"/>
              </a:solidFill>
              <a:prstDash val="sysDash"/>
              <a:round/>
            </a:ln>
            <a:effectLst/>
            <a:scene3d>
              <a:camera prst="orthographicFront"/>
              <a:lightRig rig="threePt" dir="t"/>
            </a:scene3d>
            <a:sp3d>
              <a:bevelT w="114300" prst="hardEdge"/>
            </a:sp3d>
          </c:spPr>
          <c:invertIfNegative val="0"/>
          <c:cat>
            <c:strRef>
              <c:f>'Pivot Tables'!$E$15:$E$21</c:f>
              <c:strCache>
                <c:ptCount val="6"/>
                <c:pt idx="0">
                  <c:v>Bangalore</c:v>
                </c:pt>
                <c:pt idx="1">
                  <c:v>Chennai</c:v>
                </c:pt>
                <c:pt idx="2">
                  <c:v>Delhi</c:v>
                </c:pt>
                <c:pt idx="3">
                  <c:v>Hyderabad</c:v>
                </c:pt>
                <c:pt idx="4">
                  <c:v>Mumbai</c:v>
                </c:pt>
                <c:pt idx="5">
                  <c:v>Pune</c:v>
                </c:pt>
              </c:strCache>
            </c:strRef>
          </c:cat>
          <c:val>
            <c:numRef>
              <c:f>'Pivot Tables'!$F$15:$F$21</c:f>
              <c:numCache>
                <c:formatCode>General</c:formatCode>
                <c:ptCount val="6"/>
                <c:pt idx="0">
                  <c:v>24</c:v>
                </c:pt>
                <c:pt idx="1">
                  <c:v>33</c:v>
                </c:pt>
                <c:pt idx="2">
                  <c:v>37</c:v>
                </c:pt>
                <c:pt idx="3">
                  <c:v>33</c:v>
                </c:pt>
                <c:pt idx="4">
                  <c:v>34</c:v>
                </c:pt>
                <c:pt idx="5">
                  <c:v>39</c:v>
                </c:pt>
              </c:numCache>
            </c:numRef>
          </c:val>
          <c:extLst>
            <c:ext xmlns:c16="http://schemas.microsoft.com/office/drawing/2014/chart" uri="{C3380CC4-5D6E-409C-BE32-E72D297353CC}">
              <c16:uniqueId val="{00000000-D90C-47A9-8FAA-254060EC0A03}"/>
            </c:ext>
          </c:extLst>
        </c:ser>
        <c:dLbls>
          <c:showLegendKey val="0"/>
          <c:showVal val="0"/>
          <c:showCatName val="0"/>
          <c:showSerName val="0"/>
          <c:showPercent val="0"/>
          <c:showBubbleSize val="0"/>
        </c:dLbls>
        <c:gapWidth val="150"/>
        <c:overlap val="100"/>
        <c:axId val="2029903807"/>
        <c:axId val="2029904223"/>
      </c:barChart>
      <c:catAx>
        <c:axId val="202990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gency FB" panose="020B0503020202020204" pitchFamily="34" charset="0"/>
                <a:ea typeface="+mn-ea"/>
                <a:cs typeface="+mn-cs"/>
              </a:defRPr>
            </a:pPr>
            <a:endParaRPr lang="en-US"/>
          </a:p>
        </c:txPr>
        <c:crossAx val="2029904223"/>
        <c:crosses val="autoZero"/>
        <c:auto val="1"/>
        <c:lblAlgn val="ctr"/>
        <c:lblOffset val="100"/>
        <c:noMultiLvlLbl val="0"/>
      </c:catAx>
      <c:valAx>
        <c:axId val="2029904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990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gency FB" panose="020B0503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A65E"/>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Tables!PivotTable6</c:name>
    <c:fmtId val="2"/>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sz="1400" b="1" i="0" u="sng" strike="noStrike" baseline="0">
                <a:solidFill>
                  <a:schemeClr val="bg1"/>
                </a:solidFill>
                <a:effectLst>
                  <a:outerShdw blurRad="50800" dist="38100" dir="5400000" algn="t" rotWithShape="0">
                    <a:prstClr val="black">
                      <a:alpha val="40000"/>
                    </a:prstClr>
                  </a:outerShdw>
                </a:effectLst>
                <a:latin typeface="Agency FB" panose="020B0503020202020204" pitchFamily="34" charset="0"/>
              </a:rPr>
              <a:t>Delivered vs Cancelled Orders</a:t>
            </a:r>
            <a:endParaRPr lang="en-US" b="1" u="sng">
              <a:solidFill>
                <a:schemeClr val="bg1"/>
              </a:solidFill>
              <a:effectLst>
                <a:outerShdw blurRad="50800" dist="38100" dir="5400000" algn="t" rotWithShape="0">
                  <a:prstClr val="black">
                    <a:alpha val="40000"/>
                  </a:prstClr>
                </a:outerShdw>
              </a:effectLst>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7004"/>
          </a:solidFill>
          <a:ln>
            <a:noFill/>
          </a:ln>
          <a:effectLst>
            <a:outerShdw blurRad="50800" dist="38100" dir="5400000" algn="t" rotWithShape="0">
              <a:prstClr val="black">
                <a:alpha val="40000"/>
              </a:prstClr>
            </a:outerShdw>
          </a:effectLst>
          <a:scene3d>
            <a:camera prst="orthographicFront"/>
            <a:lightRig rig="threePt" dir="t"/>
          </a:scene3d>
          <a:sp3d>
            <a:bevelT w="1143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69203849518809"/>
          <c:y val="0.37800488480606592"/>
          <c:w val="0.77378937007874016"/>
          <c:h val="0.53774387576552929"/>
        </c:manualLayout>
      </c:layout>
      <c:barChart>
        <c:barDir val="col"/>
        <c:grouping val="clustered"/>
        <c:varyColors val="0"/>
        <c:ser>
          <c:idx val="0"/>
          <c:order val="0"/>
          <c:tx>
            <c:strRef>
              <c:f>'Pivot Tables'!$I$17</c:f>
              <c:strCache>
                <c:ptCount val="1"/>
                <c:pt idx="0">
                  <c:v>Total</c:v>
                </c:pt>
              </c:strCache>
            </c:strRef>
          </c:tx>
          <c:spPr>
            <a:solidFill>
              <a:srgbClr val="F27004"/>
            </a:solidFill>
            <a:ln>
              <a:noFill/>
            </a:ln>
            <a:effectLst>
              <a:outerShdw blurRad="50800" dist="38100" dir="5400000" algn="t" rotWithShape="0">
                <a:prstClr val="black">
                  <a:alpha val="40000"/>
                </a:prstClr>
              </a:outerShdw>
            </a:effectLst>
            <a:scene3d>
              <a:camera prst="orthographicFront"/>
              <a:lightRig rig="threePt" dir="t"/>
            </a:scene3d>
            <a:sp3d>
              <a:bevelT w="114300" prst="hardEdge"/>
            </a:sp3d>
          </c:spPr>
          <c:invertIfNegative val="0"/>
          <c:cat>
            <c:strRef>
              <c:f>'Pivot Tables'!$H$18:$H$20</c:f>
              <c:strCache>
                <c:ptCount val="2"/>
                <c:pt idx="0">
                  <c:v>Cancelled</c:v>
                </c:pt>
                <c:pt idx="1">
                  <c:v>Delivered</c:v>
                </c:pt>
              </c:strCache>
            </c:strRef>
          </c:cat>
          <c:val>
            <c:numRef>
              <c:f>'Pivot Tables'!$I$18:$I$20</c:f>
              <c:numCache>
                <c:formatCode>General</c:formatCode>
                <c:ptCount val="2"/>
                <c:pt idx="0">
                  <c:v>112</c:v>
                </c:pt>
                <c:pt idx="1">
                  <c:v>88</c:v>
                </c:pt>
              </c:numCache>
            </c:numRef>
          </c:val>
          <c:extLst>
            <c:ext xmlns:c16="http://schemas.microsoft.com/office/drawing/2014/chart" uri="{C3380CC4-5D6E-409C-BE32-E72D297353CC}">
              <c16:uniqueId val="{00000000-E76F-40AF-85C6-776BAB5D4D29}"/>
            </c:ext>
          </c:extLst>
        </c:ser>
        <c:dLbls>
          <c:showLegendKey val="0"/>
          <c:showVal val="0"/>
          <c:showCatName val="0"/>
          <c:showSerName val="0"/>
          <c:showPercent val="0"/>
          <c:showBubbleSize val="0"/>
        </c:dLbls>
        <c:gapWidth val="150"/>
        <c:overlap val="-32"/>
        <c:axId val="2029927935"/>
        <c:axId val="2029931679"/>
      </c:barChart>
      <c:catAx>
        <c:axId val="202992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gency FB" panose="020B0503020202020204" pitchFamily="34" charset="0"/>
                <a:ea typeface="+mn-ea"/>
                <a:cs typeface="+mn-cs"/>
              </a:defRPr>
            </a:pPr>
            <a:endParaRPr lang="en-US"/>
          </a:p>
        </c:txPr>
        <c:crossAx val="2029931679"/>
        <c:crosses val="autoZero"/>
        <c:auto val="1"/>
        <c:lblAlgn val="ctr"/>
        <c:lblOffset val="100"/>
        <c:noMultiLvlLbl val="0"/>
      </c:catAx>
      <c:valAx>
        <c:axId val="202993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gency FB" panose="020B0503020202020204" pitchFamily="34" charset="0"/>
                <a:ea typeface="+mn-ea"/>
                <a:cs typeface="+mn-cs"/>
              </a:defRPr>
            </a:pPr>
            <a:endParaRPr lang="en-US"/>
          </a:p>
        </c:txPr>
        <c:crossAx val="202992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gency FB" panose="020B0503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CA65E"/>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Tables!PivotTable1</c:name>
    <c:fmtId val="43"/>
  </c:pivotSource>
  <c:chart>
    <c:title>
      <c:tx>
        <c:rich>
          <a:bodyPr rot="0" spcFirstLastPara="1" vertOverflow="ellipsis" vert="horz" wrap="square" anchor="ctr" anchorCtr="1"/>
          <a:lstStyle/>
          <a:p>
            <a:pPr>
              <a:defRPr lang="en-US" sz="1400" b="1" i="0" u="sng" strike="noStrike" kern="1200" spc="0" baseline="0">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IN" sz="1400" b="1" i="0" u="sng" strike="noStrike" baseline="0">
                <a:solidFill>
                  <a:schemeClr val="bg1"/>
                </a:solidFill>
                <a:effectLst>
                  <a:outerShdw blurRad="50800" dist="38100" dir="5400000" algn="t" rotWithShape="0">
                    <a:prstClr val="black">
                      <a:alpha val="40000"/>
                    </a:prstClr>
                  </a:outerShdw>
                </a:effectLst>
                <a:latin typeface="Agency FB" panose="020B0503020202020204" pitchFamily="34" charset="0"/>
              </a:rPr>
              <a:t>Sales Trend over time</a:t>
            </a:r>
            <a:endParaRPr lang="en-US" sz="1400" b="1" u="sng">
              <a:solidFill>
                <a:schemeClr val="bg1"/>
              </a:solidFill>
              <a:effectLst>
                <a:outerShdw blurRad="50800" dist="38100" dir="5400000" algn="t" rotWithShape="0">
                  <a:prstClr val="black">
                    <a:alpha val="40000"/>
                  </a:prstClr>
                </a:outerShdw>
              </a:effectLst>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lang="en-US" sz="1400" b="1" i="0" u="sng" strike="noStrike" kern="1200" spc="0" baseline="0">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27004"/>
            </a:solidFill>
            <a:round/>
          </a:ln>
          <a:effectLst/>
        </c:spPr>
        <c:marker>
          <c:symbol val="circle"/>
          <c:size val="5"/>
          <c:spPr>
            <a:noFill/>
            <a:ln w="9525">
              <a:solidFill>
                <a:srgbClr val="F27004">
                  <a:alpha val="99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Tables'!$C$6</c:f>
              <c:strCache>
                <c:ptCount val="1"/>
                <c:pt idx="0">
                  <c:v>Total</c:v>
                </c:pt>
              </c:strCache>
            </c:strRef>
          </c:tx>
          <c:spPr>
            <a:ln w="28575" cap="rnd">
              <a:solidFill>
                <a:srgbClr val="F27004"/>
              </a:solidFill>
              <a:round/>
            </a:ln>
            <a:effectLst/>
          </c:spPr>
          <c:marker>
            <c:symbol val="circle"/>
            <c:size val="5"/>
            <c:spPr>
              <a:noFill/>
              <a:ln w="9525">
                <a:solidFill>
                  <a:srgbClr val="F27004">
                    <a:alpha val="99000"/>
                  </a:srgbClr>
                </a:solidFill>
              </a:ln>
              <a:effectLst/>
            </c:spPr>
          </c:marker>
          <c:cat>
            <c:strRef>
              <c:f>'Pivot Tables'!$B$7:$B$9</c:f>
              <c:strCache>
                <c:ptCount val="2"/>
                <c:pt idx="0">
                  <c:v>Feb</c:v>
                </c:pt>
                <c:pt idx="1">
                  <c:v>Mar</c:v>
                </c:pt>
              </c:strCache>
            </c:strRef>
          </c:cat>
          <c:val>
            <c:numRef>
              <c:f>'Pivot Tables'!$C$7:$C$9</c:f>
              <c:numCache>
                <c:formatCode>General</c:formatCode>
                <c:ptCount val="2"/>
                <c:pt idx="0">
                  <c:v>509</c:v>
                </c:pt>
                <c:pt idx="1">
                  <c:v>3198</c:v>
                </c:pt>
              </c:numCache>
            </c:numRef>
          </c:val>
          <c:smooth val="0"/>
          <c:extLst>
            <c:ext xmlns:c16="http://schemas.microsoft.com/office/drawing/2014/chart" uri="{C3380CC4-5D6E-409C-BE32-E72D297353CC}">
              <c16:uniqueId val="{00000000-7262-4052-B508-CD5AFDE2812A}"/>
            </c:ext>
          </c:extLst>
        </c:ser>
        <c:dLbls>
          <c:showLegendKey val="0"/>
          <c:showVal val="0"/>
          <c:showCatName val="0"/>
          <c:showSerName val="0"/>
          <c:showPercent val="0"/>
          <c:showBubbleSize val="0"/>
        </c:dLbls>
        <c:marker val="1"/>
        <c:smooth val="0"/>
        <c:axId val="1004458000"/>
        <c:axId val="1004458416"/>
      </c:lineChart>
      <c:catAx>
        <c:axId val="100445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Agency FB" panose="020B0503020202020204" pitchFamily="34" charset="0"/>
                <a:ea typeface="+mn-ea"/>
                <a:cs typeface="+mn-cs"/>
              </a:defRPr>
            </a:pPr>
            <a:endParaRPr lang="en-US"/>
          </a:p>
        </c:txPr>
        <c:crossAx val="1004458416"/>
        <c:crosses val="autoZero"/>
        <c:auto val="1"/>
        <c:lblAlgn val="ctr"/>
        <c:lblOffset val="100"/>
        <c:noMultiLvlLbl val="0"/>
      </c:catAx>
      <c:valAx>
        <c:axId val="100445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Agency FB" panose="020B0503020202020204" pitchFamily="34" charset="0"/>
                <a:ea typeface="+mn-ea"/>
                <a:cs typeface="+mn-cs"/>
              </a:defRPr>
            </a:pPr>
            <a:endParaRPr lang="en-US"/>
          </a:p>
        </c:txPr>
        <c:crossAx val="100445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Agency FB" panose="020B0503020202020204" pitchFamily="34" charset="0"/>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CA65E"/>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jobhai.com/swiggy-jobs-in-delhi-page-18-ccmp" TargetMode="External"/><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218033</xdr:colOff>
      <xdr:row>0</xdr:row>
      <xdr:rowOff>0</xdr:rowOff>
    </xdr:from>
    <xdr:to>
      <xdr:col>24</xdr:col>
      <xdr:colOff>481854</xdr:colOff>
      <xdr:row>44</xdr:row>
      <xdr:rowOff>97972</xdr:rowOff>
    </xdr:to>
    <xdr:sp macro="" textlink="">
      <xdr:nvSpPr>
        <xdr:cNvPr id="7" name="Rectangle 6">
          <a:extLst>
            <a:ext uri="{FF2B5EF4-FFF2-40B4-BE49-F238E27FC236}">
              <a16:creationId xmlns:a16="http://schemas.microsoft.com/office/drawing/2014/main" id="{9D513137-D305-4257-9ACE-F1978CFE0129}"/>
            </a:ext>
          </a:extLst>
        </xdr:cNvPr>
        <xdr:cNvSpPr/>
      </xdr:nvSpPr>
      <xdr:spPr>
        <a:xfrm>
          <a:off x="824811" y="0"/>
          <a:ext cx="15842487" cy="8169528"/>
        </a:xfrm>
        <a:prstGeom prst="rect">
          <a:avLst/>
        </a:prstGeom>
        <a:solidFill>
          <a:schemeClr val="accent2"/>
        </a:solidFill>
      </xdr:spPr>
      <xdr:style>
        <a:lnRef idx="1">
          <a:schemeClr val="accent6"/>
        </a:lnRef>
        <a:fillRef idx="1002">
          <a:schemeClr val="dk1"/>
        </a:fillRef>
        <a:effectRef idx="1">
          <a:schemeClr val="accent6"/>
        </a:effectRef>
        <a:fontRef idx="minor">
          <a:schemeClr val="dk1"/>
        </a:fontRef>
      </xdr:style>
      <xdr:txBody>
        <a:bodyPr vertOverflow="clip" horzOverflow="clip" rtlCol="0" anchor="t"/>
        <a:lstStyle/>
        <a:p>
          <a:pPr algn="ctr"/>
          <a:endParaRPr lang="en-IN" sz="1100"/>
        </a:p>
      </xdr:txBody>
    </xdr:sp>
    <xdr:clientData/>
  </xdr:twoCellAnchor>
  <xdr:twoCellAnchor>
    <xdr:from>
      <xdr:col>8</xdr:col>
      <xdr:colOff>104669</xdr:colOff>
      <xdr:row>17</xdr:row>
      <xdr:rowOff>131885</xdr:rowOff>
    </xdr:from>
    <xdr:to>
      <xdr:col>13</xdr:col>
      <xdr:colOff>527538</xdr:colOff>
      <xdr:row>29</xdr:row>
      <xdr:rowOff>28472</xdr:rowOff>
    </xdr:to>
    <xdr:graphicFrame macro="">
      <xdr:nvGraphicFramePr>
        <xdr:cNvPr id="27" name="Chart 26">
          <a:extLst>
            <a:ext uri="{FF2B5EF4-FFF2-40B4-BE49-F238E27FC236}">
              <a16:creationId xmlns:a16="http://schemas.microsoft.com/office/drawing/2014/main" id="{9D025260-D6FC-4ABA-BA2B-C68C7E175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50660</xdr:colOff>
      <xdr:row>17</xdr:row>
      <xdr:rowOff>116811</xdr:rowOff>
    </xdr:from>
    <xdr:to>
      <xdr:col>20</xdr:col>
      <xdr:colOff>301032</xdr:colOff>
      <xdr:row>29</xdr:row>
      <xdr:rowOff>28053</xdr:rowOff>
    </xdr:to>
    <xdr:graphicFrame macro="">
      <xdr:nvGraphicFramePr>
        <xdr:cNvPr id="31" name="Chart 30">
          <a:extLst>
            <a:ext uri="{FF2B5EF4-FFF2-40B4-BE49-F238E27FC236}">
              <a16:creationId xmlns:a16="http://schemas.microsoft.com/office/drawing/2014/main" id="{B0E7507A-2019-48E0-9F4B-FF7CD2DC7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507440</xdr:colOff>
      <xdr:row>30</xdr:row>
      <xdr:rowOff>35168</xdr:rowOff>
    </xdr:from>
    <xdr:to>
      <xdr:col>7</xdr:col>
      <xdr:colOff>578617</xdr:colOff>
      <xdr:row>43</xdr:row>
      <xdr:rowOff>13398</xdr:rowOff>
    </xdr:to>
    <xdr:graphicFrame macro="">
      <xdr:nvGraphicFramePr>
        <xdr:cNvPr id="32" name="Chart 31">
          <a:extLst>
            <a:ext uri="{FF2B5EF4-FFF2-40B4-BE49-F238E27FC236}">
              <a16:creationId xmlns:a16="http://schemas.microsoft.com/office/drawing/2014/main" id="{191B8B33-2A0A-4E23-B79A-66880BCE8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105087</xdr:colOff>
      <xdr:row>30</xdr:row>
      <xdr:rowOff>43961</xdr:rowOff>
    </xdr:from>
    <xdr:to>
      <xdr:col>13</xdr:col>
      <xdr:colOff>573175</xdr:colOff>
      <xdr:row>43</xdr:row>
      <xdr:rowOff>43961</xdr:rowOff>
    </xdr:to>
    <xdr:graphicFrame macro="">
      <xdr:nvGraphicFramePr>
        <xdr:cNvPr id="33" name="Chart 32">
          <a:extLst>
            <a:ext uri="{FF2B5EF4-FFF2-40B4-BE49-F238E27FC236}">
              <a16:creationId xmlns:a16="http://schemas.microsoft.com/office/drawing/2014/main" id="{050A0614-86EB-4F0E-8C73-D5D298178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79965</xdr:colOff>
      <xdr:row>30</xdr:row>
      <xdr:rowOff>42285</xdr:rowOff>
    </xdr:from>
    <xdr:to>
      <xdr:col>20</xdr:col>
      <xdr:colOff>380999</xdr:colOff>
      <xdr:row>43</xdr:row>
      <xdr:rowOff>58614</xdr:rowOff>
    </xdr:to>
    <xdr:graphicFrame macro="">
      <xdr:nvGraphicFramePr>
        <xdr:cNvPr id="34" name="Chart 33">
          <a:extLst>
            <a:ext uri="{FF2B5EF4-FFF2-40B4-BE49-F238E27FC236}">
              <a16:creationId xmlns:a16="http://schemas.microsoft.com/office/drawing/2014/main" id="{F119CFB4-DE80-41F1-8584-41209DBE6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439934</xdr:colOff>
      <xdr:row>17</xdr:row>
      <xdr:rowOff>118284</xdr:rowOff>
    </xdr:from>
    <xdr:to>
      <xdr:col>22</xdr:col>
      <xdr:colOff>1171222</xdr:colOff>
      <xdr:row>29</xdr:row>
      <xdr:rowOff>24487</xdr:rowOff>
    </xdr:to>
    <mc:AlternateContent xmlns:mc="http://schemas.openxmlformats.org/markup-compatibility/2006" xmlns:a14="http://schemas.microsoft.com/office/drawing/2010/main">
      <mc:Choice Requires="a14">
        <xdr:graphicFrame macro="">
          <xdr:nvGraphicFramePr>
            <xdr:cNvPr id="17" name="Order Date">
              <a:extLst>
                <a:ext uri="{FF2B5EF4-FFF2-40B4-BE49-F238E27FC236}">
                  <a16:creationId xmlns:a16="http://schemas.microsoft.com/office/drawing/2014/main" id="{AC0A15FE-7155-4833-8B78-8E7D02EF1C42}"/>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2580273" y="3192115"/>
              <a:ext cx="1945322" cy="2075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1362967</xdr:colOff>
      <xdr:row>17</xdr:row>
      <xdr:rowOff>129491</xdr:rowOff>
    </xdr:from>
    <xdr:to>
      <xdr:col>24</xdr:col>
      <xdr:colOff>287204</xdr:colOff>
      <xdr:row>29</xdr:row>
      <xdr:rowOff>58106</xdr:rowOff>
    </xdr:to>
    <mc:AlternateContent xmlns:mc="http://schemas.openxmlformats.org/markup-compatibility/2006" xmlns:a14="http://schemas.microsoft.com/office/drawing/2010/main">
      <mc:Choice Requires="a14">
        <xdr:graphicFrame macro="">
          <xdr:nvGraphicFramePr>
            <xdr:cNvPr id="18" name="Restaurant Name">
              <a:extLst>
                <a:ext uri="{FF2B5EF4-FFF2-40B4-BE49-F238E27FC236}">
                  <a16:creationId xmlns:a16="http://schemas.microsoft.com/office/drawing/2014/main" id="{9CCE6A42-083D-4ED2-8F54-9AA23C89A3D0}"/>
                </a:ext>
              </a:extLst>
            </xdr:cNvPr>
            <xdr:cNvGraphicFramePr/>
          </xdr:nvGraphicFramePr>
          <xdr:xfrm>
            <a:off x="0" y="0"/>
            <a:ext cx="0" cy="0"/>
          </xdr:xfrm>
          <a:graphic>
            <a:graphicData uri="http://schemas.microsoft.com/office/drawing/2010/slicer">
              <sle:slicer xmlns:sle="http://schemas.microsoft.com/office/drawing/2010/slicer" name="Restaurant Name"/>
            </a:graphicData>
          </a:graphic>
        </xdr:graphicFrame>
      </mc:Choice>
      <mc:Fallback xmlns="">
        <xdr:sp macro="" textlink="">
          <xdr:nvSpPr>
            <xdr:cNvPr id="0" name=""/>
            <xdr:cNvSpPr>
              <a:spLocks noTextEdit="1"/>
            </xdr:cNvSpPr>
          </xdr:nvSpPr>
          <xdr:spPr>
            <a:xfrm>
              <a:off x="14717340" y="3203322"/>
              <a:ext cx="1752678" cy="2098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477785</xdr:colOff>
      <xdr:row>30</xdr:row>
      <xdr:rowOff>76034</xdr:rowOff>
    </xdr:from>
    <xdr:to>
      <xdr:col>22</xdr:col>
      <xdr:colOff>549503</xdr:colOff>
      <xdr:row>43</xdr:row>
      <xdr:rowOff>84666</xdr:rowOff>
    </xdr:to>
    <mc:AlternateContent xmlns:mc="http://schemas.openxmlformats.org/markup-compatibility/2006" xmlns:a14="http://schemas.microsoft.com/office/drawing/2010/main">
      <mc:Choice Requires="a14">
        <xdr:graphicFrame macro="">
          <xdr:nvGraphicFramePr>
            <xdr:cNvPr id="19" name="Cuisine Type">
              <a:extLst>
                <a:ext uri="{FF2B5EF4-FFF2-40B4-BE49-F238E27FC236}">
                  <a16:creationId xmlns:a16="http://schemas.microsoft.com/office/drawing/2014/main" id="{A8DE6176-E49A-4B33-A656-D91972389CA5}"/>
                </a:ext>
              </a:extLst>
            </xdr:cNvPr>
            <xdr:cNvGraphicFramePr/>
          </xdr:nvGraphicFramePr>
          <xdr:xfrm>
            <a:off x="0" y="0"/>
            <a:ext cx="0" cy="0"/>
          </xdr:xfrm>
          <a:graphic>
            <a:graphicData uri="http://schemas.microsoft.com/office/drawing/2010/slicer">
              <sle:slicer xmlns:sle="http://schemas.microsoft.com/office/drawing/2010/slicer" name="Cuisine Type"/>
            </a:graphicData>
          </a:graphic>
        </xdr:graphicFrame>
      </mc:Choice>
      <mc:Fallback xmlns="">
        <xdr:sp macro="" textlink="">
          <xdr:nvSpPr>
            <xdr:cNvPr id="0" name=""/>
            <xdr:cNvSpPr>
              <a:spLocks noTextEdit="1"/>
            </xdr:cNvSpPr>
          </xdr:nvSpPr>
          <xdr:spPr>
            <a:xfrm>
              <a:off x="12618124" y="5500441"/>
              <a:ext cx="1285752" cy="2359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656865</xdr:colOff>
      <xdr:row>30</xdr:row>
      <xdr:rowOff>94082</xdr:rowOff>
    </xdr:from>
    <xdr:to>
      <xdr:col>23</xdr:col>
      <xdr:colOff>232834</xdr:colOff>
      <xdr:row>43</xdr:row>
      <xdr:rowOff>84667</xdr:rowOff>
    </xdr:to>
    <mc:AlternateContent xmlns:mc="http://schemas.openxmlformats.org/markup-compatibility/2006" xmlns:a14="http://schemas.microsoft.com/office/drawing/2010/main">
      <mc:Choice Requires="a14">
        <xdr:graphicFrame macro="">
          <xdr:nvGraphicFramePr>
            <xdr:cNvPr id="20" name="Customer Location">
              <a:extLst>
                <a:ext uri="{FF2B5EF4-FFF2-40B4-BE49-F238E27FC236}">
                  <a16:creationId xmlns:a16="http://schemas.microsoft.com/office/drawing/2014/main" id="{B04A44E3-D89F-4BB3-B581-D2878BBB14A6}"/>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14011238" y="5518489"/>
              <a:ext cx="996647" cy="2341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392355</xdr:colOff>
      <xdr:row>30</xdr:row>
      <xdr:rowOff>29202</xdr:rowOff>
    </xdr:from>
    <xdr:to>
      <xdr:col>24</xdr:col>
      <xdr:colOff>283883</xdr:colOff>
      <xdr:row>43</xdr:row>
      <xdr:rowOff>81760</xdr:rowOff>
    </xdr:to>
    <mc:AlternateContent xmlns:mc="http://schemas.openxmlformats.org/markup-compatibility/2006" xmlns:a14="http://schemas.microsoft.com/office/drawing/2010/main">
      <mc:Choice Requires="a14">
        <xdr:graphicFrame macro="">
          <xdr:nvGraphicFramePr>
            <xdr:cNvPr id="21" name="Payment Method">
              <a:extLst>
                <a:ext uri="{FF2B5EF4-FFF2-40B4-BE49-F238E27FC236}">
                  <a16:creationId xmlns:a16="http://schemas.microsoft.com/office/drawing/2014/main" id="{2665858E-2DDC-48C7-86D4-5EDFADFE02C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5167406" y="5453609"/>
              <a:ext cx="1299291" cy="2403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2076</xdr:colOff>
      <xdr:row>7</xdr:row>
      <xdr:rowOff>24900</xdr:rowOff>
    </xdr:from>
    <xdr:to>
      <xdr:col>8</xdr:col>
      <xdr:colOff>13280</xdr:colOff>
      <xdr:row>16</xdr:row>
      <xdr:rowOff>69725</xdr:rowOff>
    </xdr:to>
    <xdr:sp macro="" textlink="">
      <xdr:nvSpPr>
        <xdr:cNvPr id="2" name="TextBox 1">
          <a:extLst>
            <a:ext uri="{FF2B5EF4-FFF2-40B4-BE49-F238E27FC236}">
              <a16:creationId xmlns:a16="http://schemas.microsoft.com/office/drawing/2014/main" id="{305F353D-A4F3-4583-BBD9-E678E3470EA8}"/>
            </a:ext>
          </a:extLst>
        </xdr:cNvPr>
        <xdr:cNvSpPr txBox="1"/>
      </xdr:nvSpPr>
      <xdr:spPr>
        <a:xfrm>
          <a:off x="1215632" y="1309011"/>
          <a:ext cx="3651870" cy="1695825"/>
        </a:xfrm>
        <a:prstGeom prst="roundRect">
          <a:avLst/>
        </a:prstGeom>
        <a:solidFill>
          <a:srgbClr val="FCA65E"/>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                                                           </a:t>
          </a:r>
          <a:r>
            <a:rPr lang="en-IN" sz="1600" baseline="0"/>
            <a:t>        </a:t>
          </a:r>
          <a:r>
            <a:rPr lang="en-IN" sz="3200" b="1">
              <a:solidFill>
                <a:schemeClr val="bg1"/>
              </a:solidFill>
              <a:effectLst>
                <a:outerShdw blurRad="50800" dist="38100" dir="5400000" algn="t" rotWithShape="0">
                  <a:prstClr val="black">
                    <a:alpha val="40000"/>
                  </a:prstClr>
                </a:outerShdw>
              </a:effectLst>
              <a:latin typeface="Agency FB" panose="020B0503020202020204" pitchFamily="34" charset="0"/>
            </a:rPr>
            <a:t>Total</a:t>
          </a:r>
          <a:r>
            <a:rPr lang="en-IN" sz="3200" b="1" baseline="0">
              <a:solidFill>
                <a:schemeClr val="bg1"/>
              </a:solidFill>
              <a:effectLst>
                <a:outerShdw blurRad="50800" dist="38100" dir="5400000" algn="t" rotWithShape="0">
                  <a:prstClr val="black">
                    <a:alpha val="40000"/>
                  </a:prstClr>
                </a:outerShdw>
              </a:effectLst>
              <a:latin typeface="Agency FB" panose="020B0503020202020204" pitchFamily="34" charset="0"/>
            </a:rPr>
            <a:t> Sales</a:t>
          </a:r>
          <a:endParaRPr lang="en-IN" sz="3200" b="1">
            <a:solidFill>
              <a:schemeClr val="bg1"/>
            </a:solidFill>
            <a:effectLst>
              <a:outerShdw blurRad="50800" dist="38100" dir="5400000" algn="t" rotWithShape="0">
                <a:prstClr val="black">
                  <a:alpha val="40000"/>
                </a:prstClr>
              </a:outerShdw>
            </a:effectLst>
            <a:latin typeface="Agency FB" panose="020B0503020202020204" pitchFamily="34" charset="0"/>
          </a:endParaRPr>
        </a:p>
      </xdr:txBody>
    </xdr:sp>
    <xdr:clientData/>
  </xdr:twoCellAnchor>
  <xdr:twoCellAnchor>
    <xdr:from>
      <xdr:col>3</xdr:col>
      <xdr:colOff>406732</xdr:colOff>
      <xdr:row>12</xdr:row>
      <xdr:rowOff>140280</xdr:rowOff>
    </xdr:from>
    <xdr:to>
      <xdr:col>6</xdr:col>
      <xdr:colOff>137791</xdr:colOff>
      <xdr:row>14</xdr:row>
      <xdr:rowOff>151487</xdr:rowOff>
    </xdr:to>
    <xdr:sp macro="" textlink="">
      <xdr:nvSpPr>
        <xdr:cNvPr id="3" name="TextBox 2">
          <a:extLst>
            <a:ext uri="{FF2B5EF4-FFF2-40B4-BE49-F238E27FC236}">
              <a16:creationId xmlns:a16="http://schemas.microsoft.com/office/drawing/2014/main" id="{2BD6E5FE-134D-4332-B4A3-4EF8FCC8640D}"/>
            </a:ext>
          </a:extLst>
        </xdr:cNvPr>
        <xdr:cNvSpPr txBox="1"/>
      </xdr:nvSpPr>
      <xdr:spPr>
        <a:xfrm>
          <a:off x="2227065" y="2341613"/>
          <a:ext cx="1551393" cy="37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rPr>
            <a:t>141181</a:t>
          </a:r>
          <a:endParaRPr lang="en-IN" sz="2400" b="1">
            <a:solidFill>
              <a:schemeClr val="bg1"/>
            </a:solidFill>
            <a:effectLst>
              <a:outerShdw blurRad="50800" dist="38100" dir="5400000" algn="t" rotWithShape="0">
                <a:prstClr val="black">
                  <a:alpha val="40000"/>
                </a:prstClr>
              </a:outerShdw>
            </a:effectLst>
            <a:latin typeface="Agency FB" panose="020B0503020202020204" pitchFamily="34" charset="0"/>
          </a:endParaRPr>
        </a:p>
      </xdr:txBody>
    </xdr:sp>
    <xdr:clientData/>
  </xdr:twoCellAnchor>
  <xdr:twoCellAnchor>
    <xdr:from>
      <xdr:col>8</xdr:col>
      <xdr:colOff>218449</xdr:colOff>
      <xdr:row>7</xdr:row>
      <xdr:rowOff>24487</xdr:rowOff>
    </xdr:from>
    <xdr:to>
      <xdr:col>14</xdr:col>
      <xdr:colOff>229653</xdr:colOff>
      <xdr:row>16</xdr:row>
      <xdr:rowOff>127000</xdr:rowOff>
    </xdr:to>
    <xdr:sp macro="" textlink="">
      <xdr:nvSpPr>
        <xdr:cNvPr id="26" name="TextBox 25">
          <a:extLst>
            <a:ext uri="{FF2B5EF4-FFF2-40B4-BE49-F238E27FC236}">
              <a16:creationId xmlns:a16="http://schemas.microsoft.com/office/drawing/2014/main" id="{2EF9E15F-58A2-4830-93B9-FC6852FAF34D}"/>
            </a:ext>
          </a:extLst>
        </xdr:cNvPr>
        <xdr:cNvSpPr txBox="1"/>
      </xdr:nvSpPr>
      <xdr:spPr>
        <a:xfrm>
          <a:off x="5072671" y="1308598"/>
          <a:ext cx="3651871" cy="1753513"/>
        </a:xfrm>
        <a:prstGeom prst="roundRect">
          <a:avLst/>
        </a:prstGeom>
        <a:solidFill>
          <a:srgbClr val="FCA65E"/>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a:solidFill>
                <a:schemeClr val="dk1"/>
              </a:solidFill>
              <a:effectLst/>
              <a:latin typeface="+mn-lt"/>
              <a:ea typeface="+mn-ea"/>
              <a:cs typeface="+mn-cs"/>
            </a:rPr>
            <a:t>                                                                                                </a:t>
          </a:r>
          <a:r>
            <a:rPr lang="en-IN" sz="3200" b="1" i="0" u="none" strike="noStrike">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rPr>
            <a:t>Total Orders</a:t>
          </a:r>
          <a:r>
            <a:rPr lang="en-IN" sz="3200">
              <a:solidFill>
                <a:schemeClr val="bg1"/>
              </a:solidFill>
              <a:effectLst>
                <a:outerShdw blurRad="50800" dist="38100" dir="5400000" algn="t" rotWithShape="0">
                  <a:prstClr val="black">
                    <a:alpha val="40000"/>
                  </a:prstClr>
                </a:outerShdw>
              </a:effectLst>
              <a:latin typeface="Agency FB" panose="020B0503020202020204" pitchFamily="34" charset="0"/>
            </a:rPr>
            <a:t> </a:t>
          </a:r>
        </a:p>
      </xdr:txBody>
    </xdr:sp>
    <xdr:clientData/>
  </xdr:twoCellAnchor>
  <xdr:twoCellAnchor>
    <xdr:from>
      <xdr:col>14</xdr:col>
      <xdr:colOff>387450</xdr:colOff>
      <xdr:row>6</xdr:row>
      <xdr:rowOff>165598</xdr:rowOff>
    </xdr:from>
    <xdr:to>
      <xdr:col>20</xdr:col>
      <xdr:colOff>398654</xdr:colOff>
      <xdr:row>16</xdr:row>
      <xdr:rowOff>98778</xdr:rowOff>
    </xdr:to>
    <xdr:sp macro="" textlink="">
      <xdr:nvSpPr>
        <xdr:cNvPr id="28" name="TextBox 27">
          <a:extLst>
            <a:ext uri="{FF2B5EF4-FFF2-40B4-BE49-F238E27FC236}">
              <a16:creationId xmlns:a16="http://schemas.microsoft.com/office/drawing/2014/main" id="{960EB0BF-0D54-407D-9E0B-F99CF07DF45A}"/>
            </a:ext>
          </a:extLst>
        </xdr:cNvPr>
        <xdr:cNvSpPr txBox="1"/>
      </xdr:nvSpPr>
      <xdr:spPr>
        <a:xfrm>
          <a:off x="8882339" y="1266265"/>
          <a:ext cx="3651871" cy="1767624"/>
        </a:xfrm>
        <a:prstGeom prst="roundRect">
          <a:avLst/>
        </a:prstGeom>
        <a:solidFill>
          <a:srgbClr val="FCA65E"/>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aseline="0">
              <a:latin typeface="Agency FB" panose="020B0503020202020204" pitchFamily="34" charset="0"/>
            </a:rPr>
            <a:t>                                                                      </a:t>
          </a:r>
          <a:r>
            <a:rPr lang="en-IN" sz="2800" b="1">
              <a:solidFill>
                <a:schemeClr val="bg1"/>
              </a:solidFill>
              <a:effectLst>
                <a:outerShdw blurRad="50800" dist="38100" dir="5400000" algn="t" rotWithShape="0">
                  <a:prstClr val="black">
                    <a:alpha val="40000"/>
                  </a:prstClr>
                </a:outerShdw>
              </a:effectLst>
              <a:latin typeface="Agency FB" panose="020B0503020202020204" pitchFamily="34" charset="0"/>
            </a:rPr>
            <a:t>AVERAGE ORDER</a:t>
          </a:r>
          <a:r>
            <a:rPr lang="en-IN" sz="2800" b="1" baseline="0">
              <a:solidFill>
                <a:schemeClr val="bg1"/>
              </a:solidFill>
              <a:effectLst>
                <a:outerShdw blurRad="50800" dist="38100" dir="5400000" algn="t" rotWithShape="0">
                  <a:prstClr val="black">
                    <a:alpha val="40000"/>
                  </a:prstClr>
                </a:outerShdw>
              </a:effectLst>
              <a:latin typeface="Agency FB" panose="020B0503020202020204" pitchFamily="34" charset="0"/>
            </a:rPr>
            <a:t> VALUE </a:t>
          </a:r>
          <a:r>
            <a:rPr lang="en-IN" sz="2800" b="1">
              <a:solidFill>
                <a:schemeClr val="bg1"/>
              </a:solidFill>
              <a:effectLst>
                <a:outerShdw blurRad="50800" dist="38100" dir="5400000" algn="t" rotWithShape="0">
                  <a:prstClr val="black">
                    <a:alpha val="40000"/>
                  </a:prstClr>
                </a:outerShdw>
              </a:effectLst>
              <a:latin typeface="Agency FB" panose="020B0503020202020204" pitchFamily="34" charset="0"/>
            </a:rPr>
            <a:t>                                                       </a:t>
          </a:r>
        </a:p>
      </xdr:txBody>
    </xdr:sp>
    <xdr:clientData/>
  </xdr:twoCellAnchor>
  <xdr:twoCellAnchor>
    <xdr:from>
      <xdr:col>10</xdr:col>
      <xdr:colOff>6723</xdr:colOff>
      <xdr:row>12</xdr:row>
      <xdr:rowOff>129987</xdr:rowOff>
    </xdr:from>
    <xdr:to>
      <xdr:col>12</xdr:col>
      <xdr:colOff>342899</xdr:colOff>
      <xdr:row>14</xdr:row>
      <xdr:rowOff>141194</xdr:rowOff>
    </xdr:to>
    <xdr:sp macro="" textlink="">
      <xdr:nvSpPr>
        <xdr:cNvPr id="36" name="TextBox 35">
          <a:extLst>
            <a:ext uri="{FF2B5EF4-FFF2-40B4-BE49-F238E27FC236}">
              <a16:creationId xmlns:a16="http://schemas.microsoft.com/office/drawing/2014/main" id="{1A74FEB2-B53F-4737-BB46-C36CD41EBD3E}"/>
            </a:ext>
          </a:extLst>
        </xdr:cNvPr>
        <xdr:cNvSpPr txBox="1"/>
      </xdr:nvSpPr>
      <xdr:spPr>
        <a:xfrm>
          <a:off x="6074501" y="2331320"/>
          <a:ext cx="1549731" cy="37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rPr>
            <a:t>200</a:t>
          </a:r>
          <a:endParaRPr lang="en-IN" sz="2400" b="1">
            <a:solidFill>
              <a:schemeClr val="bg1"/>
            </a:solidFill>
            <a:effectLst>
              <a:outerShdw blurRad="50800" dist="38100" dir="5400000" algn="t" rotWithShape="0">
                <a:prstClr val="black">
                  <a:alpha val="40000"/>
                </a:prstClr>
              </a:outerShdw>
            </a:effectLst>
            <a:latin typeface="Agency FB" panose="020B0503020202020204" pitchFamily="34" charset="0"/>
          </a:endParaRPr>
        </a:p>
      </xdr:txBody>
    </xdr:sp>
    <xdr:clientData/>
  </xdr:twoCellAnchor>
  <xdr:twoCellAnchor>
    <xdr:from>
      <xdr:col>16</xdr:col>
      <xdr:colOff>282694</xdr:colOff>
      <xdr:row>12</xdr:row>
      <xdr:rowOff>127087</xdr:rowOff>
    </xdr:from>
    <xdr:to>
      <xdr:col>19</xdr:col>
      <xdr:colOff>12092</xdr:colOff>
      <xdr:row>14</xdr:row>
      <xdr:rowOff>138294</xdr:rowOff>
    </xdr:to>
    <xdr:sp macro="" textlink="">
      <xdr:nvSpPr>
        <xdr:cNvPr id="37" name="TextBox 36">
          <a:extLst>
            <a:ext uri="{FF2B5EF4-FFF2-40B4-BE49-F238E27FC236}">
              <a16:creationId xmlns:a16="http://schemas.microsoft.com/office/drawing/2014/main" id="{4292DFB1-A38C-4610-BFD2-E65BDB03D0EB}"/>
            </a:ext>
          </a:extLst>
        </xdr:cNvPr>
        <xdr:cNvSpPr txBox="1"/>
      </xdr:nvSpPr>
      <xdr:spPr>
        <a:xfrm>
          <a:off x="9991138" y="2328420"/>
          <a:ext cx="1549732" cy="37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rPr>
            <a:t>705.905</a:t>
          </a:r>
          <a:r>
            <a:rPr lang="en-IN" sz="2400">
              <a:effectLst>
                <a:outerShdw blurRad="50800" dist="38100" dir="5400000" algn="t" rotWithShape="0">
                  <a:prstClr val="black">
                    <a:alpha val="40000"/>
                  </a:prstClr>
                </a:outerShdw>
              </a:effectLst>
              <a:latin typeface="Agency FB" panose="020B0503020202020204" pitchFamily="34" charset="0"/>
            </a:rPr>
            <a:t> </a:t>
          </a:r>
          <a:endParaRPr lang="en-IN" sz="2400" b="1">
            <a:effectLst>
              <a:outerShdw blurRad="50800" dist="38100" dir="5400000" algn="t" rotWithShape="0">
                <a:prstClr val="black">
                  <a:alpha val="40000"/>
                </a:prstClr>
              </a:outerShdw>
            </a:effectLst>
            <a:latin typeface="Agency FB" panose="020B0503020202020204" pitchFamily="34" charset="0"/>
          </a:endParaRPr>
        </a:p>
      </xdr:txBody>
    </xdr:sp>
    <xdr:clientData/>
  </xdr:twoCellAnchor>
  <xdr:twoCellAnchor>
    <xdr:from>
      <xdr:col>20</xdr:col>
      <xdr:colOff>594364</xdr:colOff>
      <xdr:row>6</xdr:row>
      <xdr:rowOff>165597</xdr:rowOff>
    </xdr:from>
    <xdr:to>
      <xdr:col>24</xdr:col>
      <xdr:colOff>198293</xdr:colOff>
      <xdr:row>16</xdr:row>
      <xdr:rowOff>141110</xdr:rowOff>
    </xdr:to>
    <xdr:sp macro="" textlink="">
      <xdr:nvSpPr>
        <xdr:cNvPr id="38" name="TextBox 37">
          <a:extLst>
            <a:ext uri="{FF2B5EF4-FFF2-40B4-BE49-F238E27FC236}">
              <a16:creationId xmlns:a16="http://schemas.microsoft.com/office/drawing/2014/main" id="{56B7B68D-005B-4F70-AF8E-33046B493BFE}"/>
            </a:ext>
          </a:extLst>
        </xdr:cNvPr>
        <xdr:cNvSpPr txBox="1"/>
      </xdr:nvSpPr>
      <xdr:spPr>
        <a:xfrm>
          <a:off x="12729920" y="1266264"/>
          <a:ext cx="3653817" cy="1809957"/>
        </a:xfrm>
        <a:prstGeom prst="roundRect">
          <a:avLst/>
        </a:prstGeom>
        <a:solidFill>
          <a:srgbClr val="FCA65E"/>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aseline="0">
              <a:solidFill>
                <a:schemeClr val="bg1"/>
              </a:solidFill>
              <a:latin typeface="Agency FB" panose="020B0503020202020204" pitchFamily="34" charset="0"/>
            </a:rPr>
            <a:t>                                                                      </a:t>
          </a:r>
          <a:r>
            <a:rPr lang="en-IN" sz="2800" b="1">
              <a:solidFill>
                <a:schemeClr val="bg1"/>
              </a:solidFill>
              <a:effectLst>
                <a:outerShdw blurRad="50800" dist="38100" dir="5400000" algn="t" rotWithShape="0">
                  <a:prstClr val="black">
                    <a:alpha val="40000"/>
                  </a:prstClr>
                </a:outerShdw>
              </a:effectLst>
              <a:latin typeface="Agency FB" panose="020B0503020202020204" pitchFamily="34" charset="0"/>
            </a:rPr>
            <a:t>AVERAGE</a:t>
          </a:r>
          <a:r>
            <a:rPr lang="en-IN" sz="2800" b="1" baseline="0">
              <a:solidFill>
                <a:schemeClr val="bg1"/>
              </a:solidFill>
              <a:effectLst>
                <a:outerShdw blurRad="50800" dist="38100" dir="5400000" algn="t" rotWithShape="0">
                  <a:prstClr val="black">
                    <a:alpha val="40000"/>
                  </a:prstClr>
                </a:outerShdw>
              </a:effectLst>
              <a:latin typeface="Agency FB" panose="020B0503020202020204" pitchFamily="34" charset="0"/>
            </a:rPr>
            <a:t> DELIVERY TIME</a:t>
          </a:r>
          <a:r>
            <a:rPr lang="en-IN" sz="2800" b="1">
              <a:solidFill>
                <a:schemeClr val="bg1"/>
              </a:solidFill>
              <a:effectLst>
                <a:outerShdw blurRad="50800" dist="38100" dir="5400000" algn="t" rotWithShape="0">
                  <a:prstClr val="black">
                    <a:alpha val="40000"/>
                  </a:prstClr>
                </a:outerShdw>
              </a:effectLst>
              <a:latin typeface="Agency FB" panose="020B0503020202020204" pitchFamily="34" charset="0"/>
            </a:rPr>
            <a:t>                                                       </a:t>
          </a:r>
        </a:p>
      </xdr:txBody>
    </xdr:sp>
    <xdr:clientData/>
  </xdr:twoCellAnchor>
  <xdr:twoCellAnchor>
    <xdr:from>
      <xdr:col>22</xdr:col>
      <xdr:colOff>522195</xdr:colOff>
      <xdr:row>12</xdr:row>
      <xdr:rowOff>136916</xdr:rowOff>
    </xdr:from>
    <xdr:to>
      <xdr:col>23</xdr:col>
      <xdr:colOff>648164</xdr:colOff>
      <xdr:row>14</xdr:row>
      <xdr:rowOff>148123</xdr:rowOff>
    </xdr:to>
    <xdr:sp macro="" textlink="">
      <xdr:nvSpPr>
        <xdr:cNvPr id="39" name="TextBox 38">
          <a:extLst>
            <a:ext uri="{FF2B5EF4-FFF2-40B4-BE49-F238E27FC236}">
              <a16:creationId xmlns:a16="http://schemas.microsoft.com/office/drawing/2014/main" id="{FB204326-063B-4D8B-BF43-E8F51680EAF5}"/>
            </a:ext>
          </a:extLst>
        </xdr:cNvPr>
        <xdr:cNvSpPr txBox="1"/>
      </xdr:nvSpPr>
      <xdr:spPr>
        <a:xfrm>
          <a:off x="13871306" y="2338249"/>
          <a:ext cx="1551191" cy="37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bg1"/>
              </a:solidFill>
              <a:effectLst>
                <a:outerShdw blurRad="50800" dist="38100" dir="5400000" algn="t" rotWithShape="0">
                  <a:prstClr val="black">
                    <a:alpha val="40000"/>
                  </a:prstClr>
                </a:outerShdw>
              </a:effectLst>
              <a:latin typeface="Agency FB" panose="020B0503020202020204" pitchFamily="34" charset="0"/>
              <a:ea typeface="+mn-ea"/>
              <a:cs typeface="+mn-cs"/>
            </a:rPr>
            <a:t>44.745</a:t>
          </a:r>
          <a:r>
            <a:rPr lang="en-IN" sz="2400" b="1">
              <a:effectLst>
                <a:outerShdw blurRad="50800" dist="38100" dir="5400000" algn="t" rotWithShape="0">
                  <a:prstClr val="black">
                    <a:alpha val="40000"/>
                  </a:prstClr>
                </a:outerShdw>
              </a:effectLst>
              <a:latin typeface="Agency FB" panose="020B0503020202020204" pitchFamily="34" charset="0"/>
            </a:rPr>
            <a:t> </a:t>
          </a:r>
        </a:p>
      </xdr:txBody>
    </xdr:sp>
    <xdr:clientData/>
  </xdr:twoCellAnchor>
  <xdr:twoCellAnchor>
    <xdr:from>
      <xdr:col>1</xdr:col>
      <xdr:colOff>570811</xdr:colOff>
      <xdr:row>17</xdr:row>
      <xdr:rowOff>133048</xdr:rowOff>
    </xdr:from>
    <xdr:to>
      <xdr:col>8</xdr:col>
      <xdr:colOff>0</xdr:colOff>
      <xdr:row>28</xdr:row>
      <xdr:rowOff>169334</xdr:rowOff>
    </xdr:to>
    <xdr:graphicFrame macro="">
      <xdr:nvGraphicFramePr>
        <xdr:cNvPr id="40" name="Chart 39">
          <a:extLst>
            <a:ext uri="{FF2B5EF4-FFF2-40B4-BE49-F238E27FC236}">
              <a16:creationId xmlns:a16="http://schemas.microsoft.com/office/drawing/2014/main" id="{7CCED2FA-4AE2-4B9E-8CD1-8A8DBF8CA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14654</xdr:colOff>
      <xdr:row>1</xdr:row>
      <xdr:rowOff>0</xdr:rowOff>
    </xdr:from>
    <xdr:to>
      <xdr:col>24</xdr:col>
      <xdr:colOff>146539</xdr:colOff>
      <xdr:row>6</xdr:row>
      <xdr:rowOff>29308</xdr:rowOff>
    </xdr:to>
    <xdr:sp macro="" textlink="">
      <xdr:nvSpPr>
        <xdr:cNvPr id="5" name="TextBox 4">
          <a:extLst>
            <a:ext uri="{FF2B5EF4-FFF2-40B4-BE49-F238E27FC236}">
              <a16:creationId xmlns:a16="http://schemas.microsoft.com/office/drawing/2014/main" id="{0E752CC8-2525-4D95-A539-A99024CA8A8E}"/>
            </a:ext>
          </a:extLst>
        </xdr:cNvPr>
        <xdr:cNvSpPr txBox="1"/>
      </xdr:nvSpPr>
      <xdr:spPr>
        <a:xfrm>
          <a:off x="1245577" y="175846"/>
          <a:ext cx="15269308" cy="908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u="sng">
              <a:solidFill>
                <a:schemeClr val="bg1"/>
              </a:solidFill>
              <a:latin typeface="Agency FB" panose="020B0503020202020204" pitchFamily="34" charset="0"/>
            </a:rPr>
            <a:t>SALES</a:t>
          </a:r>
          <a:r>
            <a:rPr lang="en-IN" sz="4800" b="1" u="sng" baseline="0">
              <a:solidFill>
                <a:schemeClr val="bg1"/>
              </a:solidFill>
              <a:latin typeface="Agency FB" panose="020B0503020202020204" pitchFamily="34" charset="0"/>
            </a:rPr>
            <a:t> DATA</a:t>
          </a:r>
          <a:endParaRPr lang="en-IN" sz="4800" b="1" u="sng">
            <a:solidFill>
              <a:schemeClr val="bg1"/>
            </a:solidFill>
            <a:latin typeface="Agency FB" panose="020B0503020202020204" pitchFamily="34" charset="0"/>
          </a:endParaRPr>
        </a:p>
      </xdr:txBody>
    </xdr:sp>
    <xdr:clientData/>
  </xdr:twoCellAnchor>
  <xdr:twoCellAnchor editAs="oneCell">
    <xdr:from>
      <xdr:col>10</xdr:col>
      <xdr:colOff>594101</xdr:colOff>
      <xdr:row>1</xdr:row>
      <xdr:rowOff>154983</xdr:rowOff>
    </xdr:from>
    <xdr:to>
      <xdr:col>12</xdr:col>
      <xdr:colOff>167899</xdr:colOff>
      <xdr:row>6</xdr:row>
      <xdr:rowOff>38748</xdr:rowOff>
    </xdr:to>
    <xdr:pic>
      <xdr:nvPicPr>
        <xdr:cNvPr id="8" name="Picture 7">
          <a:extLst>
            <a:ext uri="{FF2B5EF4-FFF2-40B4-BE49-F238E27FC236}">
              <a16:creationId xmlns:a16="http://schemas.microsoft.com/office/drawing/2014/main" id="{3F0AB59B-0651-46A7-A140-ABFB59D17BA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6664270" y="335797"/>
          <a:ext cx="787832" cy="78783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Sheeba" refreshedDate="45980.010595601852" createdVersion="7" refreshedVersion="7" minRefreshableVersion="3" recordCount="200" xr:uid="{9FCC4A81-A444-4E63-B8C3-78B4F6D66432}">
  <cacheSource type="worksheet">
    <worksheetSource name="Orders­_data"/>
  </cacheSource>
  <cacheFields count="13">
    <cacheField name="Order ID" numFmtId="165">
      <sharedItems/>
    </cacheField>
    <cacheField name="Order Date" numFmtId="165">
      <sharedItems containsSemiMixedTypes="0" containsNonDate="0" containsDate="1" containsString="0" minDate="2023-01-01T00:00:00" maxDate="2023-04-01T00:00:00" count="200">
        <d v="2023-01-01T00:00:00"/>
        <d v="2023-01-01T10:44:01"/>
        <d v="2023-01-01T21:28:02"/>
        <d v="2023-01-02T08:12:04"/>
        <d v="2023-01-02T18:56:05"/>
        <d v="2023-01-03T05:40:06"/>
        <d v="2023-01-03T16:24:07"/>
        <d v="2023-01-04T03:08:08"/>
        <d v="2023-01-04T13:52:10"/>
        <d v="2023-01-05T00:36:11"/>
        <d v="2023-01-05T11:20:12"/>
        <d v="2023-01-05T22:04:13"/>
        <d v="2023-01-06T08:48:14"/>
        <d v="2023-01-06T19:32:16"/>
        <d v="2023-01-07T06:16:17"/>
        <d v="2023-01-07T17:00:18"/>
        <d v="2023-01-08T03:44:19"/>
        <d v="2023-01-08T14:28:21"/>
        <d v="2023-01-09T01:12:22"/>
        <d v="2023-01-09T11:56:23"/>
        <d v="2023-01-09T22:40:24"/>
        <d v="2023-01-10T09:24:25"/>
        <d v="2023-01-10T20:08:27"/>
        <d v="2023-01-11T06:52:28"/>
        <d v="2023-01-11T17:36:29"/>
        <d v="2023-01-12T04:20:30"/>
        <d v="2023-01-12T15:04:31"/>
        <d v="2023-01-13T01:48:33"/>
        <d v="2023-01-13T12:32:34"/>
        <d v="2023-01-13T23:16:35"/>
        <d v="2023-01-14T10:00:36"/>
        <d v="2023-01-14T20:44:37"/>
        <d v="2023-01-15T07:28:39"/>
        <d v="2023-01-15T18:12:40"/>
        <d v="2023-01-16T04:56:41"/>
        <d v="2023-01-16T15:40:42"/>
        <d v="2023-01-17T02:24:43"/>
        <d v="2023-01-17T13:08:45"/>
        <d v="2023-01-17T23:52:46"/>
        <d v="2023-01-18T10:36:47"/>
        <d v="2023-01-18T21:20:48"/>
        <d v="2023-01-19T08:04:49"/>
        <d v="2023-01-19T18:48:51"/>
        <d v="2023-01-20T05:32:52"/>
        <d v="2023-01-20T16:16:53"/>
        <d v="2023-01-21T03:00:54"/>
        <d v="2023-01-21T13:44:55"/>
        <d v="2023-01-22T00:28:57"/>
        <d v="2023-01-22T11:12:58"/>
        <d v="2023-01-22T21:56:59"/>
        <d v="2023-01-23T08:41:00"/>
        <d v="2023-01-23T19:25:02"/>
        <d v="2023-01-24T06:09:03"/>
        <d v="2023-01-24T16:53:04"/>
        <d v="2023-01-25T03:37:05"/>
        <d v="2023-01-25T14:21:06"/>
        <d v="2023-01-26T01:05:08"/>
        <d v="2023-01-26T11:49:09"/>
        <d v="2023-01-26T22:33:10"/>
        <d v="2023-01-27T09:17:11"/>
        <d v="2023-01-27T20:01:12"/>
        <d v="2023-01-28T06:45:14"/>
        <d v="2023-01-28T17:29:15"/>
        <d v="2023-01-29T04:13:16"/>
        <d v="2023-01-29T14:57:17"/>
        <d v="2023-01-30T01:41:18"/>
        <d v="2023-01-30T12:25:20"/>
        <d v="2023-01-30T23:09:21"/>
        <d v="2023-01-31T09:53:22"/>
        <d v="2023-01-31T20:37:23"/>
        <d v="2023-02-01T07:21:24"/>
        <d v="2023-02-01T18:05:26"/>
        <d v="2023-02-02T04:49:27"/>
        <d v="2023-02-02T15:33:28"/>
        <d v="2023-02-03T02:17:29"/>
        <d v="2023-02-03T13:01:30"/>
        <d v="2023-02-03T23:45:32"/>
        <d v="2023-02-04T10:29:33"/>
        <d v="2023-02-04T21:13:34"/>
        <d v="2023-02-05T07:57:35"/>
        <d v="2023-02-05T18:41:36"/>
        <d v="2023-02-06T05:25:38"/>
        <d v="2023-02-06T16:09:39"/>
        <d v="2023-02-07T02:53:40"/>
        <d v="2023-02-07T13:37:41"/>
        <d v="2023-02-08T00:21:43"/>
        <d v="2023-02-08T11:05:44"/>
        <d v="2023-02-08T21:49:45"/>
        <d v="2023-02-09T08:33:46"/>
        <d v="2023-02-09T19:17:47"/>
        <d v="2023-02-10T06:01:49"/>
        <d v="2023-02-10T16:45:50"/>
        <d v="2023-02-11T03:29:51"/>
        <d v="2023-02-11T14:13:52"/>
        <d v="2023-02-12T00:57:53"/>
        <d v="2023-02-12T11:41:55"/>
        <d v="2023-02-12T22:25:56"/>
        <d v="2023-02-13T09:09:57"/>
        <d v="2023-02-13T19:53:58"/>
        <d v="2023-02-14T06:37:59"/>
        <d v="2023-02-14T17:22:01"/>
        <d v="2023-02-15T04:06:02"/>
        <d v="2023-02-15T14:50:03"/>
        <d v="2023-02-16T01:34:04"/>
        <d v="2023-02-16T12:18:05"/>
        <d v="2023-02-16T23:02:07"/>
        <d v="2023-02-17T09:46:08"/>
        <d v="2023-02-17T20:30:09"/>
        <d v="2023-02-18T07:14:10"/>
        <d v="2023-02-18T17:58:11"/>
        <d v="2023-02-19T04:42:13"/>
        <d v="2023-02-19T15:26:14"/>
        <d v="2023-02-20T02:10:15"/>
        <d v="2023-02-20T12:54:16"/>
        <d v="2023-02-20T23:38:17"/>
        <d v="2023-02-21T10:22:19"/>
        <d v="2023-02-21T21:06:20"/>
        <d v="2023-02-22T07:50:21"/>
        <d v="2023-02-22T18:34:22"/>
        <d v="2023-02-23T05:18:24"/>
        <d v="2023-02-23T16:02:25"/>
        <d v="2023-02-24T02:46:26"/>
        <d v="2023-02-24T13:30:27"/>
        <d v="2023-02-25T00:14:28"/>
        <d v="2023-02-25T10:58:30"/>
        <d v="2023-02-25T21:42:31"/>
        <d v="2023-02-26T08:26:32"/>
        <d v="2023-02-26T19:10:33"/>
        <d v="2023-02-27T05:54:34"/>
        <d v="2023-02-27T16:38:36"/>
        <d v="2023-02-28T03:22:37"/>
        <d v="2023-02-28T14:06:38"/>
        <d v="2023-03-01T00:50:39"/>
        <d v="2023-03-01T11:34:40"/>
        <d v="2023-03-01T22:18:42"/>
        <d v="2023-03-02T09:02:43"/>
        <d v="2023-03-02T19:46:44"/>
        <d v="2023-03-03T06:30:45"/>
        <d v="2023-03-03T17:14:46"/>
        <d v="2023-03-04T03:58:48"/>
        <d v="2023-03-04T14:42:49"/>
        <d v="2023-03-05T01:26:50"/>
        <d v="2023-03-05T12:10:51"/>
        <d v="2023-03-05T22:54:52"/>
        <d v="2023-03-06T09:38:54"/>
        <d v="2023-03-06T20:22:55"/>
        <d v="2023-03-07T07:06:56"/>
        <d v="2023-03-07T17:50:57"/>
        <d v="2023-03-08T04:34:58"/>
        <d v="2023-03-08T15:19:00"/>
        <d v="2023-03-09T02:03:01"/>
        <d v="2023-03-09T12:47:02"/>
        <d v="2023-03-09T23:31:03"/>
        <d v="2023-03-10T10:15:05"/>
        <d v="2023-03-10T20:59:06"/>
        <d v="2023-03-11T07:43:07"/>
        <d v="2023-03-11T18:27:08"/>
        <d v="2023-03-12T05:11:09"/>
        <d v="2023-03-12T15:55:11"/>
        <d v="2023-03-13T02:39:12"/>
        <d v="2023-03-13T13:23:13"/>
        <d v="2023-03-14T00:07:14"/>
        <d v="2023-03-14T10:51:15"/>
        <d v="2023-03-14T21:35:17"/>
        <d v="2023-03-15T08:19:18"/>
        <d v="2023-03-15T19:03:19"/>
        <d v="2023-03-16T05:47:20"/>
        <d v="2023-03-16T16:31:21"/>
        <d v="2023-03-17T03:15:23"/>
        <d v="2023-03-17T13:59:24"/>
        <d v="2023-03-18T00:43:25"/>
        <d v="2023-03-18T11:27:26"/>
        <d v="2023-03-18T22:11:27"/>
        <d v="2023-03-19T08:55:29"/>
        <d v="2023-03-19T19:39:30"/>
        <d v="2023-03-20T06:23:31"/>
        <d v="2023-03-20T17:07:32"/>
        <d v="2023-03-21T03:51:33"/>
        <d v="2023-03-21T14:35:35"/>
        <d v="2023-03-22T01:19:36"/>
        <d v="2023-03-22T12:03:37"/>
        <d v="2023-03-22T22:47:38"/>
        <d v="2023-03-23T09:31:39"/>
        <d v="2023-03-23T20:15:41"/>
        <d v="2023-03-24T06:59:42"/>
        <d v="2023-03-24T17:43:43"/>
        <d v="2023-03-25T04:27:44"/>
        <d v="2023-03-25T15:11:46"/>
        <d v="2023-03-26T01:55:47"/>
        <d v="2023-03-26T12:39:48"/>
        <d v="2023-03-26T23:23:49"/>
        <d v="2023-03-27T10:07:50"/>
        <d v="2023-03-27T20:51:52"/>
        <d v="2023-03-28T07:35:53"/>
        <d v="2023-03-28T18:19:54"/>
        <d v="2023-03-29T05:03:55"/>
        <d v="2023-03-29T15:47:56"/>
        <d v="2023-03-30T02:31:58"/>
        <d v="2023-03-30T13:15:59"/>
        <d v="2023-03-31T00:00:00"/>
      </sharedItems>
      <fieldGroup base="1">
        <rangePr groupBy="months" startDate="2023-01-01T00:00:00" endDate="2023-04-01T00:00:00"/>
        <groupItems count="14">
          <s v="&lt;01-01-2023"/>
          <s v="Jan"/>
          <s v="Feb"/>
          <s v="Mar"/>
          <s v="Apr"/>
          <s v="May"/>
          <s v="Jun"/>
          <s v="Jul"/>
          <s v="Aug"/>
          <s v="Sep"/>
          <s v="Oct"/>
          <s v="Nov"/>
          <s v="Dec"/>
          <s v="&gt;01-04-2023"/>
        </groupItems>
      </fieldGroup>
    </cacheField>
    <cacheField name="Restaurant Name" numFmtId="165">
      <sharedItems count="8">
        <s v="Biryani House"/>
        <s v="Domino's"/>
        <s v="KFC"/>
        <s v="McDonald's"/>
        <s v="Cafe Coffee Day"/>
        <s v="Subway"/>
        <s v="Pizza Hut"/>
        <s v="Burger King"/>
      </sharedItems>
    </cacheField>
    <cacheField name="Cuisine Type" numFmtId="165">
      <sharedItems count="6">
        <s v="Indian"/>
        <s v="Chinese"/>
        <s v="Burgers"/>
        <s v="Pizza"/>
        <s v="Snacks"/>
        <s v="Cafe"/>
      </sharedItems>
    </cacheField>
    <cacheField name="Customer Location" numFmtId="165">
      <sharedItems count="6">
        <s v="Mumbai"/>
        <s v="Hyderabad"/>
        <s v="Bangalore"/>
        <s v="Pune"/>
        <s v="Delhi"/>
        <s v="Chennai"/>
      </sharedItems>
    </cacheField>
    <cacheField name="Order Value (₹)" numFmtId="165">
      <sharedItems containsSemiMixedTypes="0" containsNonDate="0" containsDate="1" containsString="0" minDate="1900-05-30T00:00:00" maxDate="1904-01-27T00:00:00"/>
    </cacheField>
    <cacheField name="Discount (₹)" numFmtId="165">
      <sharedItems containsSemiMixedTypes="0" containsNonDate="0" containsDate="1" containsString="0" minDate="1899-12-30T00:00:00" maxDate="1900-10-25T00:00:00" count="146">
        <d v="1900-04-06T00:00:00"/>
        <d v="1900-07-15T00:00:00"/>
        <d v="1900-08-26T00:00:00"/>
        <d v="1900-05-22T00:00:00"/>
        <d v="1900-04-05T00:00:00"/>
        <d v="1900-07-18T00:00:00"/>
        <d v="1900-05-02T00:00:00"/>
        <d v="1900-07-04T00:00:00"/>
        <d v="1900-09-14T00:00:00"/>
        <d v="1900-05-26T00:00:00"/>
        <d v="1900-09-07T00:00:00"/>
        <d v="1900-05-25T00:00:00"/>
        <d v="1900-07-16T00:00:00"/>
        <d v="1900-05-06T00:00:00"/>
        <d v="1900-02-06T00:00:00"/>
        <d v="1900-05-07T00:00:00"/>
        <d v="1900-09-22T00:00:00"/>
        <d v="1900-05-29T00:00:00"/>
        <d v="1900-10-23T00:00:00"/>
        <d v="1900-04-07T00:00:00"/>
        <d v="1900-09-18T00:00:00"/>
        <d v="1900-04-20T00:00:00"/>
        <d v="1900-02-27T00:00:00"/>
        <d v="1899-12-31T00:00:00"/>
        <d v="1900-09-09T00:00:00"/>
        <d v="1900-05-18T00:00:00"/>
        <d v="1900-02-04T00:00:00"/>
        <d v="1900-06-07T00:00:00"/>
        <d v="1900-01-07T00:00:00"/>
        <d v="1900-08-19T00:00:00"/>
        <d v="1900-07-25T00:00:00"/>
        <d v="1900-05-09T00:00:00"/>
        <d v="1900-05-30T00:00:00"/>
        <d v="1900-02-21T00:00:00"/>
        <d v="1900-04-28T00:00:00"/>
        <d v="1900-06-08T00:00:00"/>
        <d v="1900-04-24T00:00:00"/>
        <d v="1900-03-14T00:00:00"/>
        <d v="1900-04-21T00:00:00"/>
        <d v="1900-04-12T00:00:00"/>
        <d v="1900-08-13T00:00:00"/>
        <d v="1900-05-31T00:00:00"/>
        <d v="1900-07-11T00:00:00"/>
        <d v="1900-06-10T00:00:00"/>
        <d v="1900-06-16T00:00:00"/>
        <d v="1900-03-07T00:00:00"/>
        <d v="1900-10-14T00:00:00"/>
        <d v="1900-10-02T00:00:00"/>
        <d v="1900-05-13T00:00:00"/>
        <d v="1900-07-12T00:00:00"/>
        <d v="1900-01-31T00:00:00"/>
        <d v="1900-06-23T00:00:00"/>
        <d v="1900-01-20T00:00:00"/>
        <d v="1900-08-24T00:00:00"/>
        <d v="1900-06-05T00:00:00"/>
        <d v="1900-02-05T00:00:00"/>
        <d v="1900-08-16T00:00:00"/>
        <d v="1900-02-18T00:00:00"/>
        <d v="1900-09-19T00:00:00"/>
        <d v="1900-10-08T00:00:00"/>
        <d v="1900-01-25T00:00:00"/>
        <d v="1900-08-12T00:00:00"/>
        <d v="1900-10-11T00:00:00"/>
        <d v="1900-10-09T00:00:00"/>
        <d v="1900-01-02T00:00:00"/>
        <d v="1900-02-02T00:00:00"/>
        <d v="1900-07-09T00:00:00"/>
        <d v="1900-02-16T00:00:00"/>
        <d v="1900-01-15T00:00:00"/>
        <d v="1900-06-19T00:00:00"/>
        <d v="1900-08-06T00:00:00"/>
        <d v="1900-02-13T00:00:00"/>
        <d v="1900-01-04T00:00:00"/>
        <d v="1900-10-05T00:00:00"/>
        <d v="1900-06-28T00:00:00"/>
        <d v="1900-04-03T00:00:00"/>
        <d v="1900-07-05T00:00:00"/>
        <d v="1900-07-08T00:00:00"/>
        <d v="1900-09-08T00:00:00"/>
        <d v="1900-09-11T00:00:00"/>
        <d v="1900-01-16T00:00:00"/>
        <d v="1900-10-06T00:00:00"/>
        <d v="1900-08-09T00:00:00"/>
        <d v="1900-02-25T00:00:00"/>
        <d v="1900-06-21T00:00:00"/>
        <d v="1900-04-22T00:00:00"/>
        <d v="1900-10-13T00:00:00"/>
        <d v="1900-05-05T00:00:00"/>
        <d v="1900-06-02T00:00:00"/>
        <d v="1900-09-28T00:00:00"/>
        <d v="1900-10-24T00:00:00"/>
        <d v="1900-09-01T00:00:00"/>
        <d v="1900-06-17T00:00:00"/>
        <d v="1900-09-02T00:00:00"/>
        <d v="1900-01-24T00:00:00"/>
        <d v="1900-01-11T00:00:00"/>
        <d v="1900-02-03T00:00:00"/>
        <d v="1900-06-20T00:00:00"/>
        <d v="1900-01-18T00:00:00"/>
        <d v="1900-05-20T00:00:00"/>
        <d v="1900-05-21T00:00:00"/>
        <d v="1900-03-31T00:00:00"/>
        <d v="1900-08-01T00:00:00"/>
        <d v="1900-07-03T00:00:00"/>
        <d v="1900-03-02T00:00:00"/>
        <d v="1900-07-07T00:00:00"/>
        <d v="1900-05-03T00:00:00"/>
        <d v="1900-05-28T00:00:00"/>
        <d v="1900-06-27T00:00:00"/>
        <d v="1900-09-26T00:00:00"/>
        <d v="1900-04-09T00:00:00"/>
        <d v="1900-02-20T00:00:00"/>
        <d v="1900-04-16T00:00:00"/>
        <d v="1900-01-03T00:00:00"/>
        <d v="1900-04-11T00:00:00"/>
        <d v="1900-07-13T00:00:00"/>
        <d v="1900-09-17T00:00:00"/>
        <d v="1900-02-14T00:00:00"/>
        <d v="1900-09-24T00:00:00"/>
        <d v="1900-04-14T00:00:00"/>
        <d v="1900-05-23T00:00:00"/>
        <d v="1900-09-30T00:00:00"/>
        <d v="1900-08-15T00:00:00"/>
        <d v="1900-04-25T00:00:00"/>
        <d v="1900-10-04T00:00:00"/>
        <d v="1900-04-30T00:00:00"/>
        <d v="1899-12-30T00:00:00"/>
        <d v="1900-08-25T00:00:00"/>
        <d v="1900-10-15T00:00:00"/>
        <d v="1900-04-04T00:00:00"/>
        <d v="1900-05-04T00:00:00"/>
        <d v="1900-04-26T00:00:00"/>
        <d v="1900-02-15T00:00:00"/>
        <d v="1900-03-28T00:00:00"/>
        <d v="1900-08-23T00:00:00"/>
        <d v="1900-09-27T00:00:00"/>
        <d v="1900-07-06T00:00:00"/>
        <d v="1900-03-08T00:00:00"/>
        <d v="1900-10-03T00:00:00"/>
        <d v="1900-03-15T00:00:00"/>
        <d v="1900-06-01T00:00:00"/>
        <d v="1900-03-25T00:00:00"/>
        <d v="1900-07-02T00:00:00"/>
        <d v="1900-10-10T00:00:00"/>
        <d v="1900-04-02T00:00:00"/>
        <d v="1900-07-21T00:00:00"/>
      </sharedItems>
      <fieldGroup par="12" base="6">
        <rangePr groupBy="days" startDate="1899-12-30T00:00:00" endDate="1900-10-25T00:00:00"/>
        <groupItems count="368">
          <s v="&lt;00-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5-10-1900"/>
        </groupItems>
      </fieldGroup>
    </cacheField>
    <cacheField name="Final Amount (₹)" numFmtId="165">
      <sharedItems containsSemiMixedTypes="0" containsDate="1" containsString="0" containsMixedTypes="1" minDate="1900-01-08T01:35:12" maxDate="1903-10-11T00:00:00" count="185">
        <d v="1903-03-24T00:00:00"/>
        <d v="1902-03-23T00:00:00"/>
        <d v="1903-04-19T00:00:00"/>
        <d v="1903-02-10T00:00:00"/>
        <d v="1903-02-22T00:00:00"/>
        <d v="1902-09-20T00:00:00"/>
        <d v="1900-05-27T00:00:00"/>
        <d v="1901-03-05T00:00:00"/>
        <d v="1903-02-03T00:00:00"/>
        <d v="1900-11-28T00:00:00"/>
        <n v="-14"/>
        <d v="1903-01-31T00:00:00"/>
        <d v="1902-05-23T00:00:00"/>
        <d v="1900-03-22T00:00:00"/>
        <d v="1903-09-16T00:00:00"/>
        <d v="1902-05-30T00:00:00"/>
        <d v="1900-12-30T00:00:00"/>
        <d v="1901-11-19T00:00:00"/>
        <d v="1901-01-19T00:00:00"/>
        <d v="1902-12-03T00:00:00"/>
        <d v="1902-10-03T00:00:00"/>
        <d v="1900-06-12T00:00:00"/>
        <d v="1902-12-18T00:00:00"/>
        <d v="1901-04-10T00:00:00"/>
        <d v="1903-10-07T00:00:00"/>
        <d v="1900-04-21T00:00:00"/>
        <d v="1901-02-04T00:00:00"/>
        <d v="1901-10-05T00:00:00"/>
        <d v="1902-05-16T00:00:00"/>
        <d v="1901-08-10T00:00:00"/>
        <d v="1902-12-08T00:00:00"/>
        <d v="1901-10-13T00:00:00"/>
        <d v="1901-09-08T00:00:00"/>
        <d v="1902-10-23T00:00:00"/>
        <d v="1900-07-11T00:00:00"/>
        <d v="1902-06-18T00:00:00"/>
        <d v="1901-12-06T00:00:00"/>
        <d v="1902-08-13T00:00:00"/>
        <d v="1901-10-20T00:00:00"/>
        <d v="1903-07-21T00:00:00"/>
        <d v="1902-03-31T00:00:00"/>
        <d v="1903-04-03T00:00:00"/>
        <d v="1901-12-22T00:00:00"/>
        <d v="1900-02-26T00:00:00"/>
        <d v="1902-06-05T00:00:00"/>
        <d v="1900-03-03T00:00:00"/>
        <d v="1903-05-05T00:00:00"/>
        <d v="1901-03-01T00:00:00"/>
        <d v="1900-11-08T00:00:00"/>
        <n v="-30"/>
        <d v="1900-08-16T00:00:00"/>
        <d v="1901-12-19T00:00:00"/>
        <d v="1901-06-29T00:00:00"/>
        <d v="1900-06-22T00:00:00"/>
        <d v="1902-03-27T00:00:00"/>
        <d v="1901-01-16T00:00:00"/>
        <d v="1902-03-01T00:00:00"/>
        <n v="-10"/>
        <d v="1900-08-15T00:00:00"/>
        <d v="1903-05-06T00:00:00"/>
        <d v="1902-09-26T00:00:00"/>
        <d v="1903-02-23T00:00:00"/>
        <d v="1901-04-22T00:00:00"/>
        <d v="1903-01-26T00:00:00"/>
        <d v="1902-03-25T00:00:00"/>
        <d v="1900-11-17T00:00:00"/>
        <d v="1902-04-08T00:00:00"/>
        <d v="1900-02-16T00:00:00"/>
        <d v="1900-03-09T00:00:00"/>
        <d v="1903-01-23T00:00:00"/>
        <d v="1900-07-12T00:00:00"/>
        <d v="1903-03-04T00:00:00"/>
        <d v="1901-05-23T00:00:00"/>
        <d v="1903-02-15T00:00:00"/>
        <d v="1902-10-16T00:00:00"/>
        <d v="1901-03-17T00:00:00"/>
        <d v="1902-04-14T00:00:00"/>
        <d v="1900-10-22T00:00:00"/>
        <d v="1902-09-06T00:00:00"/>
        <d v="1903-04-24T00:00:00"/>
        <d v="1902-02-08T00:00:00"/>
        <d v="1900-05-26T00:00:00"/>
        <d v="1902-01-25T00:00:00"/>
        <d v="1900-10-18T00:00:00"/>
        <d v="1901-06-07T00:00:00"/>
        <d v="1901-06-27T00:00:00"/>
        <d v="1902-09-08T00:00:00"/>
        <d v="1903-07-17T00:00:00"/>
        <n v="-115"/>
        <d v="1900-02-02T00:00:00"/>
        <d v="1901-07-29T00:00:00"/>
        <d v="1903-04-18T00:00:00"/>
        <d v="1901-09-01T00:00:00"/>
        <d v="1903-01-25T00:00:00"/>
        <d v="1901-05-04T00:00:00"/>
        <d v="1901-01-15T00:00:00"/>
        <d v="1900-11-06T00:00:00"/>
        <d v="1901-05-25T00:00:00"/>
        <d v="1900-04-09T00:00:00"/>
        <d v="1902-08-02T00:00:00"/>
        <d v="1900-05-16T00:00:00"/>
        <d v="1903-02-17T00:00:00"/>
        <d v="1900-04-20T00:00:00"/>
        <d v="1900-03-11T00:00:00"/>
        <d v="1902-03-26T00:00:00"/>
        <d v="1902-03-02T00:00:00"/>
        <d v="1902-11-21T00:00:00"/>
        <d v="1902-12-30T00:00:00"/>
        <d v="1901-05-12T00:00:00"/>
        <d v="1900-10-10T00:00:00"/>
        <d v="1902-04-30T00:00:00"/>
        <n v="-50"/>
        <d v="1901-11-30T00:00:00"/>
        <d v="1902-12-07T00:00:00"/>
        <d v="1901-08-15T00:00:00"/>
        <d v="1903-02-26T00:00:00"/>
        <d v="1903-10-10T00:00:00"/>
        <d v="1902-01-13T00:00:00"/>
        <d v="1901-06-11T00:00:00"/>
        <d v="1902-01-26T00:00:00"/>
        <d v="1902-03-13T00:00:00"/>
        <d v="1901-02-03T00:00:00"/>
        <d v="1900-09-21T00:00:00"/>
        <d v="1902-06-19T00:00:00"/>
        <d v="1902-04-06T00:00:00"/>
        <d v="1902-08-20T00:00:00"/>
        <d v="1902-01-09T00:00:00"/>
        <d v="1903-05-13T00:00:00"/>
        <d v="1901-10-12T00:00:00"/>
        <d v="1902-09-07T00:00:00"/>
        <d v="1900-04-30T00:00:00"/>
        <d v="1901-04-29T00:00:00"/>
        <d v="1900-11-18T00:00:00"/>
        <d v="1903-03-20T00:00:00"/>
        <d v="1901-02-23T00:00:00"/>
        <d v="1903-03-01T00:00:00"/>
        <d v="1901-07-27T00:00:00"/>
        <d v="1902-12-05T00:00:00"/>
        <d v="1903-09-25T00:00:00"/>
        <d v="1903-04-14T00:00:00"/>
        <d v="1901-09-11T00:00:00"/>
        <d v="1901-08-26T00:00:00"/>
        <d v="1902-08-24T00:00:00"/>
        <d v="1901-06-17T00:00:00"/>
        <d v="1902-06-17T00:00:00"/>
        <d v="1902-11-23T00:00:00"/>
        <d v="1903-02-09T00:00:00"/>
        <d v="1900-08-03T00:00:00"/>
        <d v="1903-07-16T00:00:00"/>
        <d v="1903-07-22T00:00:00"/>
        <d v="1901-09-27T00:00:00"/>
        <d v="1901-09-24T00:00:00"/>
        <d v="1902-09-29T00:00:00"/>
        <d v="1903-03-03T00:00:00"/>
        <d v="1902-02-06T00:00:00"/>
        <d v="1902-01-10T00:00:00"/>
        <d v="1900-08-26T00:00:00"/>
        <d v="1903-07-05T00:00:00"/>
        <d v="1903-02-02T00:00:00"/>
        <d v="1901-12-07T00:00:00"/>
        <d v="1901-11-15T00:00:00"/>
        <d v="1903-09-10T00:00:00"/>
        <d v="1903-03-10T00:00:00"/>
        <d v="1901-08-13T00:00:00"/>
        <d v="1901-04-19T00:00:00"/>
        <d v="1903-02-25T00:00:00"/>
        <d v="1903-04-05T00:00:00"/>
        <d v="1902-09-02T00:00:00"/>
        <d v="1902-03-11T00:00:00"/>
        <n v="-85"/>
        <d v="1901-06-03T00:00:00"/>
        <d v="1900-06-29T00:00:00"/>
        <d v="1903-08-22T00:00:00"/>
        <d v="1900-09-13T00:00:00"/>
        <d v="1902-11-22T00:00:00"/>
        <d v="1903-02-24T00:00:00"/>
        <d v="1901-12-26T00:00:00"/>
        <d v="1900-09-09T00:00:00"/>
        <d v="1900-06-16T00:00:00"/>
        <d v="1900-02-21T00:00:00"/>
        <d v="1901-04-26T00:00:00"/>
        <d v="1902-05-19T00:00:00"/>
        <d v="1900-12-15T00:00:00"/>
        <d v="1900-07-10T00:00:00"/>
        <d v="1902-04-09T00:00:00"/>
      </sharedItems>
    </cacheField>
    <cacheField name="Payment Method" numFmtId="165">
      <sharedItems count="4">
        <s v="Wallet"/>
        <s v="UPI"/>
        <s v="Card"/>
        <s v="COD"/>
      </sharedItems>
    </cacheField>
    <cacheField name="Delivery Time (Minutes)" numFmtId="165">
      <sharedItems containsSemiMixedTypes="0" containsNonDate="0" containsDate="1" containsString="0" minDate="1900-01-14T00:00:00" maxDate="1900-03-15T00:00:00" count="58">
        <d v="1900-01-29T00:00:00"/>
        <d v="1900-02-08T00:00:00"/>
        <d v="1900-03-02T00:00:00"/>
        <d v="1900-02-03T00:00:00"/>
        <d v="1900-02-21T00:00:00"/>
        <d v="1900-02-18T00:00:00"/>
        <d v="1900-02-15T00:00:00"/>
        <d v="1900-02-12T00:00:00"/>
        <d v="1900-02-19T00:00:00"/>
        <d v="1900-02-05T00:00:00"/>
        <d v="1900-03-12T00:00:00"/>
        <d v="1900-01-23T00:00:00"/>
        <d v="1900-03-08T00:00:00"/>
        <d v="1900-01-18T00:00:00"/>
        <d v="1900-02-16T00:00:00"/>
        <d v="1900-03-06T00:00:00"/>
        <d v="1900-02-13T00:00:00"/>
        <d v="1900-02-01T00:00:00"/>
        <d v="1900-02-14T00:00:00"/>
        <d v="1900-01-14T00:00:00"/>
        <d v="1900-03-10T00:00:00"/>
        <d v="1900-02-27T00:00:00"/>
        <d v="1900-01-17T00:00:00"/>
        <d v="1900-02-06T00:00:00"/>
        <d v="1900-03-09T00:00:00"/>
        <d v="1900-01-15T00:00:00"/>
        <d v="1900-03-03T00:00:00"/>
        <d v="1900-02-10T00:00:00"/>
        <d v="1900-02-09T00:00:00"/>
        <d v="1900-02-02T00:00:00"/>
        <d v="1900-01-25T00:00:00"/>
        <d v="1900-03-04T00:00:00"/>
        <d v="1900-02-17T00:00:00"/>
        <d v="1900-03-14T00:00:00"/>
        <d v="1900-03-05T00:00:00"/>
        <d v="1900-02-25T00:00:00"/>
        <d v="1900-01-16T00:00:00"/>
        <d v="1900-02-22T00:00:00"/>
        <d v="1900-02-26T00:00:00"/>
        <d v="1900-02-11T00:00:00"/>
        <d v="1900-01-26T00:00:00"/>
        <d v="1900-02-28T00:00:00"/>
        <d v="1900-01-30T00:00:00"/>
        <d v="1900-01-21T00:00:00"/>
        <d v="1900-02-23T00:00:00"/>
        <d v="1900-01-20T00:00:00"/>
        <d v="1900-03-07T00:00:00"/>
        <d v="1900-01-24T00:00:00"/>
        <d v="1900-02-07T00:00:00"/>
        <d v="1900-03-11T00:00:00"/>
        <d v="1900-01-22T00:00:00"/>
        <d v="1900-01-31T00:00:00"/>
        <d v="1900-02-04T00:00:00"/>
        <d v="1900-03-13T00:00:00"/>
        <d v="1900-01-27T00:00:00"/>
        <d v="1900-03-01T00:00:00"/>
        <d v="1900-02-24T00:00:00"/>
        <d v="1900-02-20T00:00:00"/>
      </sharedItems>
      <fieldGroup par="11" base="9">
        <rangePr groupBy="days" startDate="1900-01-14T00:00:00" endDate="1900-03-15T00:00:00"/>
        <groupItems count="368">
          <s v="&lt;15-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3-1900"/>
        </groupItems>
      </fieldGroup>
    </cacheField>
    <cacheField name="Order Status" numFmtId="165">
      <sharedItems count="2">
        <s v="Cancelled"/>
        <s v="Delivered"/>
      </sharedItems>
    </cacheField>
    <cacheField name="Months" numFmtId="0" databaseField="0">
      <fieldGroup base="9">
        <rangePr groupBy="months" startDate="1900-01-14T00:00:00" endDate="1900-03-15T00:00:00"/>
        <groupItems count="14">
          <s v="&lt;15-01-1900"/>
          <s v="Jan"/>
          <s v="Feb"/>
          <s v="Mar"/>
          <s v="Apr"/>
          <s v="May"/>
          <s v="Jun"/>
          <s v="Jul"/>
          <s v="Aug"/>
          <s v="Sep"/>
          <s v="Oct"/>
          <s v="Nov"/>
          <s v="Dec"/>
          <s v="&gt;15-03-1900"/>
        </groupItems>
      </fieldGroup>
    </cacheField>
    <cacheField name="Months2" numFmtId="0" databaseField="0">
      <fieldGroup base="6">
        <rangePr groupBy="months" startDate="1899-12-30T00:00:00" endDate="1900-10-25T00:00:00"/>
        <groupItems count="14">
          <s v="&lt;00-01-1900"/>
          <s v="Jan"/>
          <s v="Feb"/>
          <s v="Mar"/>
          <s v="Apr"/>
          <s v="May"/>
          <s v="Jun"/>
          <s v="Jul"/>
          <s v="Aug"/>
          <s v="Sep"/>
          <s v="Oct"/>
          <s v="Nov"/>
          <s v="Dec"/>
          <s v="&gt;25-10-1900"/>
        </groupItems>
      </fieldGroup>
    </cacheField>
  </cacheFields>
  <extLst>
    <ext xmlns:x14="http://schemas.microsoft.com/office/spreadsheetml/2009/9/main" uri="{725AE2AE-9491-48be-B2B4-4EB974FC3084}">
      <x14:pivotCacheDefinition pivotCacheId="1063062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0"/>
    <x v="0"/>
    <x v="0"/>
    <x v="0"/>
    <x v="0"/>
    <d v="1903-06-29T00:00:00"/>
    <x v="0"/>
    <x v="0"/>
    <x v="0"/>
    <x v="0"/>
    <x v="0"/>
  </r>
  <r>
    <s v="ORD1001"/>
    <x v="1"/>
    <x v="1"/>
    <x v="1"/>
    <x v="1"/>
    <d v="1902-10-06T00:00:00"/>
    <x v="1"/>
    <x v="1"/>
    <x v="0"/>
    <x v="1"/>
    <x v="1"/>
  </r>
  <r>
    <s v="ORD1002"/>
    <x v="2"/>
    <x v="2"/>
    <x v="1"/>
    <x v="1"/>
    <d v="1903-12-14T00:00:00"/>
    <x v="2"/>
    <x v="2"/>
    <x v="1"/>
    <x v="1"/>
    <x v="0"/>
  </r>
  <r>
    <s v="ORD1003"/>
    <x v="3"/>
    <x v="3"/>
    <x v="2"/>
    <x v="2"/>
    <d v="1903-07-03T00:00:00"/>
    <x v="3"/>
    <x v="3"/>
    <x v="2"/>
    <x v="2"/>
    <x v="0"/>
  </r>
  <r>
    <s v="ORD1004"/>
    <x v="4"/>
    <x v="0"/>
    <x v="2"/>
    <x v="3"/>
    <d v="1903-05-29T00:00:00"/>
    <x v="4"/>
    <x v="4"/>
    <x v="0"/>
    <x v="3"/>
    <x v="0"/>
  </r>
  <r>
    <s v="ORD1005"/>
    <x v="5"/>
    <x v="0"/>
    <x v="2"/>
    <x v="1"/>
    <d v="1903-04-08T00:00:00"/>
    <x v="5"/>
    <x v="5"/>
    <x v="0"/>
    <x v="4"/>
    <x v="0"/>
  </r>
  <r>
    <s v="ORD1006"/>
    <x v="6"/>
    <x v="4"/>
    <x v="1"/>
    <x v="4"/>
    <d v="1900-09-27T00:00:00"/>
    <x v="6"/>
    <x v="6"/>
    <x v="1"/>
    <x v="5"/>
    <x v="0"/>
  </r>
  <r>
    <s v="ORD1007"/>
    <x v="7"/>
    <x v="1"/>
    <x v="2"/>
    <x v="0"/>
    <d v="1901-09-07T00:00:00"/>
    <x v="7"/>
    <x v="7"/>
    <x v="0"/>
    <x v="6"/>
    <x v="0"/>
  </r>
  <r>
    <s v="ORD1008"/>
    <x v="8"/>
    <x v="5"/>
    <x v="0"/>
    <x v="0"/>
    <d v="1903-10-19T00:00:00"/>
    <x v="8"/>
    <x v="8"/>
    <x v="0"/>
    <x v="7"/>
    <x v="1"/>
  </r>
  <r>
    <s v="ORD1009"/>
    <x v="9"/>
    <x v="1"/>
    <x v="1"/>
    <x v="2"/>
    <d v="1901-04-24T00:00:00"/>
    <x v="9"/>
    <x v="9"/>
    <x v="1"/>
    <x v="8"/>
    <x v="1"/>
  </r>
  <r>
    <s v="ORD1010"/>
    <x v="10"/>
    <x v="3"/>
    <x v="2"/>
    <x v="0"/>
    <d v="1900-08-24T00:00:00"/>
    <x v="10"/>
    <x v="10"/>
    <x v="3"/>
    <x v="9"/>
    <x v="1"/>
  </r>
  <r>
    <s v="ORD1011"/>
    <x v="11"/>
    <x v="6"/>
    <x v="0"/>
    <x v="0"/>
    <d v="1903-06-26T00:00:00"/>
    <x v="11"/>
    <x v="11"/>
    <x v="3"/>
    <x v="10"/>
    <x v="1"/>
  </r>
  <r>
    <s v="ORD1012"/>
    <x v="12"/>
    <x v="1"/>
    <x v="2"/>
    <x v="3"/>
    <d v="1902-10-17T00:00:00"/>
    <x v="9"/>
    <x v="12"/>
    <x v="0"/>
    <x v="11"/>
    <x v="0"/>
  </r>
  <r>
    <s v="ORD1013"/>
    <x v="13"/>
    <x v="3"/>
    <x v="3"/>
    <x v="5"/>
    <d v="1900-10-06T00:00:00"/>
    <x v="12"/>
    <x v="13"/>
    <x v="0"/>
    <x v="12"/>
    <x v="1"/>
  </r>
  <r>
    <s v="ORD1014"/>
    <x v="14"/>
    <x v="0"/>
    <x v="2"/>
    <x v="4"/>
    <d v="1904-01-21T00:00:00"/>
    <x v="13"/>
    <x v="14"/>
    <x v="2"/>
    <x v="13"/>
    <x v="1"/>
  </r>
  <r>
    <s v="ORD1015"/>
    <x v="15"/>
    <x v="6"/>
    <x v="3"/>
    <x v="3"/>
    <d v="1902-07-07T00:00:00"/>
    <x v="14"/>
    <x v="15"/>
    <x v="0"/>
    <x v="5"/>
    <x v="1"/>
  </r>
  <r>
    <s v="ORD1016"/>
    <x v="16"/>
    <x v="3"/>
    <x v="2"/>
    <x v="5"/>
    <d v="1901-05-07T00:00:00"/>
    <x v="15"/>
    <x v="16"/>
    <x v="2"/>
    <x v="14"/>
    <x v="1"/>
  </r>
  <r>
    <s v="ORD1017"/>
    <x v="17"/>
    <x v="6"/>
    <x v="4"/>
    <x v="0"/>
    <d v="1902-08-12T00:00:00"/>
    <x v="16"/>
    <x v="17"/>
    <x v="3"/>
    <x v="15"/>
    <x v="1"/>
  </r>
  <r>
    <s v="ORD1018"/>
    <x v="18"/>
    <x v="7"/>
    <x v="4"/>
    <x v="2"/>
    <d v="1901-06-18T00:00:00"/>
    <x v="17"/>
    <x v="18"/>
    <x v="0"/>
    <x v="16"/>
    <x v="1"/>
  </r>
  <r>
    <s v="ORD1019"/>
    <x v="19"/>
    <x v="1"/>
    <x v="5"/>
    <x v="2"/>
    <d v="1903-09-26T00:00:00"/>
    <x v="18"/>
    <x v="19"/>
    <x v="0"/>
    <x v="11"/>
    <x v="1"/>
  </r>
  <r>
    <s v="ORD1020"/>
    <x v="20"/>
    <x v="7"/>
    <x v="4"/>
    <x v="0"/>
    <d v="1903-01-09T00:00:00"/>
    <x v="19"/>
    <x v="20"/>
    <x v="1"/>
    <x v="10"/>
    <x v="0"/>
  </r>
  <r>
    <s v="ORD1021"/>
    <x v="21"/>
    <x v="0"/>
    <x v="4"/>
    <x v="1"/>
    <d v="1901-03-01T00:00:00"/>
    <x v="20"/>
    <x v="21"/>
    <x v="0"/>
    <x v="17"/>
    <x v="0"/>
  </r>
  <r>
    <s v="ORD1022"/>
    <x v="22"/>
    <x v="2"/>
    <x v="2"/>
    <x v="5"/>
    <d v="1903-08-26T00:00:00"/>
    <x v="10"/>
    <x v="22"/>
    <x v="3"/>
    <x v="10"/>
    <x v="0"/>
  </r>
  <r>
    <s v="ORD1023"/>
    <x v="23"/>
    <x v="3"/>
    <x v="1"/>
    <x v="0"/>
    <d v="1901-08-31T00:00:00"/>
    <x v="3"/>
    <x v="23"/>
    <x v="0"/>
    <x v="18"/>
    <x v="0"/>
  </r>
  <r>
    <s v="ORD1024"/>
    <x v="24"/>
    <x v="4"/>
    <x v="1"/>
    <x v="2"/>
    <d v="1904-01-26T00:00:00"/>
    <x v="21"/>
    <x v="24"/>
    <x v="2"/>
    <x v="19"/>
    <x v="1"/>
  </r>
  <r>
    <s v="ORD1025"/>
    <x v="25"/>
    <x v="2"/>
    <x v="3"/>
    <x v="2"/>
    <d v="1900-06-19T00:00:00"/>
    <x v="22"/>
    <x v="25"/>
    <x v="0"/>
    <x v="20"/>
    <x v="1"/>
  </r>
  <r>
    <s v="ORD1026"/>
    <x v="26"/>
    <x v="1"/>
    <x v="1"/>
    <x v="5"/>
    <d v="1901-02-05T00:00:00"/>
    <x v="23"/>
    <x v="26"/>
    <x v="2"/>
    <x v="13"/>
    <x v="0"/>
  </r>
  <r>
    <s v="ORD1027"/>
    <x v="27"/>
    <x v="1"/>
    <x v="0"/>
    <x v="4"/>
    <d v="1902-06-15T00:00:00"/>
    <x v="24"/>
    <x v="27"/>
    <x v="1"/>
    <x v="21"/>
    <x v="0"/>
  </r>
  <r>
    <s v="ORD1028"/>
    <x v="28"/>
    <x v="7"/>
    <x v="5"/>
    <x v="0"/>
    <d v="1902-10-02T00:00:00"/>
    <x v="25"/>
    <x v="28"/>
    <x v="0"/>
    <x v="22"/>
    <x v="0"/>
  </r>
  <r>
    <s v="ORD1029"/>
    <x v="29"/>
    <x v="6"/>
    <x v="4"/>
    <x v="3"/>
    <d v="1901-09-15T00:00:00"/>
    <x v="26"/>
    <x v="29"/>
    <x v="1"/>
    <x v="0"/>
    <x v="1"/>
  </r>
  <r>
    <s v="ORD1030"/>
    <x v="30"/>
    <x v="7"/>
    <x v="5"/>
    <x v="0"/>
    <d v="1903-05-16T00:00:00"/>
    <x v="27"/>
    <x v="30"/>
    <x v="1"/>
    <x v="23"/>
    <x v="1"/>
  </r>
  <r>
    <s v="ORD1031"/>
    <x v="31"/>
    <x v="0"/>
    <x v="0"/>
    <x v="4"/>
    <d v="1901-10-21T00:00:00"/>
    <x v="28"/>
    <x v="31"/>
    <x v="0"/>
    <x v="0"/>
    <x v="0"/>
  </r>
  <r>
    <s v="ORD1032"/>
    <x v="32"/>
    <x v="6"/>
    <x v="4"/>
    <x v="5"/>
    <d v="1902-04-28T00:00:00"/>
    <x v="29"/>
    <x v="32"/>
    <x v="2"/>
    <x v="24"/>
    <x v="1"/>
  </r>
  <r>
    <s v="ORD1033"/>
    <x v="33"/>
    <x v="4"/>
    <x v="3"/>
    <x v="5"/>
    <d v="1903-01-29T00:00:00"/>
    <x v="19"/>
    <x v="33"/>
    <x v="0"/>
    <x v="25"/>
    <x v="0"/>
  </r>
  <r>
    <s v="ORD1034"/>
    <x v="34"/>
    <x v="5"/>
    <x v="0"/>
    <x v="2"/>
    <d v="1900-12-04T00:00:00"/>
    <x v="11"/>
    <x v="34"/>
    <x v="2"/>
    <x v="26"/>
    <x v="1"/>
  </r>
  <r>
    <s v="ORD1035"/>
    <x v="35"/>
    <x v="6"/>
    <x v="0"/>
    <x v="4"/>
    <d v="1903-01-11T00:00:00"/>
    <x v="30"/>
    <x v="35"/>
    <x v="1"/>
    <x v="27"/>
    <x v="1"/>
  </r>
  <r>
    <s v="ORD1036"/>
    <x v="36"/>
    <x v="7"/>
    <x v="5"/>
    <x v="5"/>
    <d v="1902-04-15T00:00:00"/>
    <x v="31"/>
    <x v="36"/>
    <x v="3"/>
    <x v="18"/>
    <x v="1"/>
  </r>
  <r>
    <s v="ORD1037"/>
    <x v="37"/>
    <x v="6"/>
    <x v="2"/>
    <x v="1"/>
    <d v="1903-01-11T00:00:00"/>
    <x v="32"/>
    <x v="37"/>
    <x v="0"/>
    <x v="28"/>
    <x v="0"/>
  </r>
  <r>
    <s v="ORD1038"/>
    <x v="38"/>
    <x v="7"/>
    <x v="5"/>
    <x v="0"/>
    <d v="1901-12-12T00:00:00"/>
    <x v="33"/>
    <x v="38"/>
    <x v="3"/>
    <x v="29"/>
    <x v="1"/>
  </r>
  <r>
    <s v="ORD1039"/>
    <x v="39"/>
    <x v="6"/>
    <x v="5"/>
    <x v="2"/>
    <d v="1903-11-17T00:00:00"/>
    <x v="34"/>
    <x v="39"/>
    <x v="2"/>
    <x v="23"/>
    <x v="1"/>
  </r>
  <r>
    <s v="ORD1040"/>
    <x v="40"/>
    <x v="0"/>
    <x v="1"/>
    <x v="3"/>
    <d v="1902-09-07T00:00:00"/>
    <x v="35"/>
    <x v="40"/>
    <x v="0"/>
    <x v="30"/>
    <x v="1"/>
  </r>
  <r>
    <s v="ORD1041"/>
    <x v="41"/>
    <x v="1"/>
    <x v="0"/>
    <x v="4"/>
    <d v="1903-07-27T00:00:00"/>
    <x v="36"/>
    <x v="41"/>
    <x v="3"/>
    <x v="31"/>
    <x v="1"/>
  </r>
  <r>
    <s v="ORD1042"/>
    <x v="42"/>
    <x v="3"/>
    <x v="5"/>
    <x v="2"/>
    <d v="1902-03-06T00:00:00"/>
    <x v="37"/>
    <x v="42"/>
    <x v="3"/>
    <x v="32"/>
    <x v="0"/>
  </r>
  <r>
    <s v="ORD1043"/>
    <x v="43"/>
    <x v="2"/>
    <x v="0"/>
    <x v="5"/>
    <d v="1900-06-18T00:00:00"/>
    <x v="38"/>
    <x v="43"/>
    <x v="0"/>
    <x v="33"/>
    <x v="0"/>
  </r>
  <r>
    <s v="ORD1044"/>
    <x v="44"/>
    <x v="1"/>
    <x v="1"/>
    <x v="5"/>
    <d v="1902-09-16T00:00:00"/>
    <x v="39"/>
    <x v="44"/>
    <x v="3"/>
    <x v="6"/>
    <x v="0"/>
  </r>
  <r>
    <s v="ORD1045"/>
    <x v="45"/>
    <x v="3"/>
    <x v="0"/>
    <x v="3"/>
    <d v="1900-11-11T00:00:00"/>
    <x v="24"/>
    <x v="45"/>
    <x v="0"/>
    <x v="6"/>
    <x v="1"/>
  </r>
  <r>
    <s v="ORD1046"/>
    <x v="46"/>
    <x v="1"/>
    <x v="5"/>
    <x v="3"/>
    <d v="1903-12-17T00:00:00"/>
    <x v="40"/>
    <x v="46"/>
    <x v="3"/>
    <x v="34"/>
    <x v="0"/>
  </r>
  <r>
    <s v="ORD1047"/>
    <x v="47"/>
    <x v="2"/>
    <x v="0"/>
    <x v="3"/>
    <d v="1901-06-20T00:00:00"/>
    <x v="21"/>
    <x v="47"/>
    <x v="1"/>
    <x v="35"/>
    <x v="0"/>
  </r>
  <r>
    <s v="ORD1048"/>
    <x v="48"/>
    <x v="0"/>
    <x v="4"/>
    <x v="3"/>
    <d v="1902-01-19T00:00:00"/>
    <x v="19"/>
    <x v="31"/>
    <x v="0"/>
    <x v="8"/>
    <x v="0"/>
  </r>
  <r>
    <s v="ORD1049"/>
    <x v="49"/>
    <x v="2"/>
    <x v="1"/>
    <x v="3"/>
    <d v="1901-04-09T00:00:00"/>
    <x v="41"/>
    <x v="48"/>
    <x v="1"/>
    <x v="30"/>
    <x v="0"/>
  </r>
  <r>
    <s v="ORD1050"/>
    <x v="50"/>
    <x v="2"/>
    <x v="2"/>
    <x v="1"/>
    <d v="1900-06-11T00:00:00"/>
    <x v="42"/>
    <x v="49"/>
    <x v="1"/>
    <x v="36"/>
    <x v="0"/>
  </r>
  <r>
    <s v="ORD1051"/>
    <x v="51"/>
    <x v="3"/>
    <x v="0"/>
    <x v="0"/>
    <d v="1901-01-25T00:00:00"/>
    <x v="43"/>
    <x v="50"/>
    <x v="3"/>
    <x v="19"/>
    <x v="0"/>
  </r>
  <r>
    <s v="ORD1052"/>
    <x v="52"/>
    <x v="2"/>
    <x v="5"/>
    <x v="4"/>
    <d v="1902-07-14T00:00:00"/>
    <x v="30"/>
    <x v="51"/>
    <x v="2"/>
    <x v="6"/>
    <x v="1"/>
  </r>
  <r>
    <s v="ORD1053"/>
    <x v="53"/>
    <x v="4"/>
    <x v="1"/>
    <x v="2"/>
    <d v="1901-12-14T00:00:00"/>
    <x v="44"/>
    <x v="52"/>
    <x v="1"/>
    <x v="37"/>
    <x v="1"/>
  </r>
  <r>
    <s v="ORD1054"/>
    <x v="54"/>
    <x v="0"/>
    <x v="5"/>
    <x v="3"/>
    <d v="1902-11-12T00:00:00"/>
    <x v="35"/>
    <x v="44"/>
    <x v="1"/>
    <x v="11"/>
    <x v="0"/>
  </r>
  <r>
    <s v="ORD1055"/>
    <x v="55"/>
    <x v="6"/>
    <x v="5"/>
    <x v="0"/>
    <d v="1900-08-28T00:00:00"/>
    <x v="45"/>
    <x v="53"/>
    <x v="1"/>
    <x v="35"/>
    <x v="0"/>
  </r>
  <r>
    <s v="ORD1056"/>
    <x v="56"/>
    <x v="3"/>
    <x v="0"/>
    <x v="5"/>
    <d v="1903-01-09T00:00:00"/>
    <x v="46"/>
    <x v="54"/>
    <x v="2"/>
    <x v="38"/>
    <x v="0"/>
  </r>
  <r>
    <s v="ORD1057"/>
    <x v="57"/>
    <x v="0"/>
    <x v="5"/>
    <x v="0"/>
    <d v="1901-10-19T00:00:00"/>
    <x v="47"/>
    <x v="55"/>
    <x v="2"/>
    <x v="39"/>
    <x v="1"/>
  </r>
  <r>
    <s v="ORD1058"/>
    <x v="58"/>
    <x v="3"/>
    <x v="0"/>
    <x v="3"/>
    <d v="1902-07-13T00:00:00"/>
    <x v="48"/>
    <x v="56"/>
    <x v="1"/>
    <x v="40"/>
    <x v="1"/>
  </r>
  <r>
    <s v="ORD1059"/>
    <x v="59"/>
    <x v="5"/>
    <x v="2"/>
    <x v="2"/>
    <d v="1900-07-02T00:00:00"/>
    <x v="49"/>
    <x v="57"/>
    <x v="2"/>
    <x v="30"/>
    <x v="1"/>
  </r>
  <r>
    <s v="ORD1060"/>
    <x v="60"/>
    <x v="4"/>
    <x v="4"/>
    <x v="3"/>
    <d v="1900-12-20T00:00:00"/>
    <x v="13"/>
    <x v="58"/>
    <x v="2"/>
    <x v="16"/>
    <x v="1"/>
  </r>
  <r>
    <s v="ORD1061"/>
    <x v="61"/>
    <x v="0"/>
    <x v="5"/>
    <x v="0"/>
    <d v="1903-06-07T00:00:00"/>
    <x v="50"/>
    <x v="59"/>
    <x v="2"/>
    <x v="41"/>
    <x v="0"/>
  </r>
  <r>
    <s v="ORD1062"/>
    <x v="62"/>
    <x v="6"/>
    <x v="5"/>
    <x v="5"/>
    <d v="1903-03-20T00:00:00"/>
    <x v="51"/>
    <x v="60"/>
    <x v="0"/>
    <x v="25"/>
    <x v="1"/>
  </r>
  <r>
    <s v="ORD1063"/>
    <x v="63"/>
    <x v="0"/>
    <x v="5"/>
    <x v="0"/>
    <d v="1903-03-16T00:00:00"/>
    <x v="52"/>
    <x v="61"/>
    <x v="1"/>
    <x v="34"/>
    <x v="1"/>
  </r>
  <r>
    <s v="ORD1064"/>
    <x v="64"/>
    <x v="7"/>
    <x v="3"/>
    <x v="3"/>
    <d v="1901-12-15T00:00:00"/>
    <x v="53"/>
    <x v="62"/>
    <x v="2"/>
    <x v="31"/>
    <x v="0"/>
  </r>
  <r>
    <s v="ORD1065"/>
    <x v="65"/>
    <x v="7"/>
    <x v="3"/>
    <x v="4"/>
    <d v="1903-07-02T00:00:00"/>
    <x v="54"/>
    <x v="63"/>
    <x v="0"/>
    <x v="32"/>
    <x v="0"/>
  </r>
  <r>
    <s v="ORD1066"/>
    <x v="66"/>
    <x v="3"/>
    <x v="1"/>
    <x v="0"/>
    <d v="1902-05-01T00:00:00"/>
    <x v="55"/>
    <x v="64"/>
    <x v="3"/>
    <x v="9"/>
    <x v="0"/>
  </r>
  <r>
    <s v="ORD1067"/>
    <x v="67"/>
    <x v="1"/>
    <x v="4"/>
    <x v="4"/>
    <d v="1901-07-04T00:00:00"/>
    <x v="56"/>
    <x v="65"/>
    <x v="3"/>
    <x v="42"/>
    <x v="1"/>
  </r>
  <r>
    <s v="ORD1068"/>
    <x v="68"/>
    <x v="2"/>
    <x v="4"/>
    <x v="3"/>
    <d v="1902-05-28T00:00:00"/>
    <x v="57"/>
    <x v="66"/>
    <x v="2"/>
    <x v="1"/>
    <x v="0"/>
  </r>
  <r>
    <s v="ORD1069"/>
    <x v="69"/>
    <x v="2"/>
    <x v="3"/>
    <x v="0"/>
    <d v="1900-11-06T00:00:00"/>
    <x v="58"/>
    <x v="67"/>
    <x v="1"/>
    <x v="43"/>
    <x v="0"/>
  </r>
  <r>
    <s v="ORD1070"/>
    <x v="70"/>
    <x v="3"/>
    <x v="1"/>
    <x v="5"/>
    <d v="1900-12-16T00:00:00"/>
    <x v="59"/>
    <x v="68"/>
    <x v="2"/>
    <x v="39"/>
    <x v="1"/>
  </r>
  <r>
    <s v="ORD1071"/>
    <x v="71"/>
    <x v="4"/>
    <x v="3"/>
    <x v="1"/>
    <d v="1903-02-18T00:00:00"/>
    <x v="60"/>
    <x v="69"/>
    <x v="3"/>
    <x v="1"/>
    <x v="0"/>
  </r>
  <r>
    <s v="ORD1072"/>
    <x v="72"/>
    <x v="4"/>
    <x v="2"/>
    <x v="1"/>
    <d v="1901-02-22T00:00:00"/>
    <x v="61"/>
    <x v="70"/>
    <x v="1"/>
    <x v="11"/>
    <x v="0"/>
  </r>
  <r>
    <s v="ORD1073"/>
    <x v="73"/>
    <x v="2"/>
    <x v="1"/>
    <x v="4"/>
    <d v="1902-08-22T00:00:00"/>
    <x v="47"/>
    <x v="17"/>
    <x v="1"/>
    <x v="1"/>
    <x v="0"/>
  </r>
  <r>
    <s v="ORD1074"/>
    <x v="74"/>
    <x v="0"/>
    <x v="4"/>
    <x v="3"/>
    <d v="1903-12-14T00:00:00"/>
    <x v="62"/>
    <x v="71"/>
    <x v="3"/>
    <x v="14"/>
    <x v="0"/>
  </r>
  <r>
    <s v="ORD1075"/>
    <x v="75"/>
    <x v="5"/>
    <x v="4"/>
    <x v="4"/>
    <d v="1901-08-27T00:00:00"/>
    <x v="4"/>
    <x v="72"/>
    <x v="0"/>
    <x v="34"/>
    <x v="0"/>
  </r>
  <r>
    <s v="ORD1076"/>
    <x v="76"/>
    <x v="4"/>
    <x v="3"/>
    <x v="3"/>
    <d v="1903-11-25T00:00:00"/>
    <x v="63"/>
    <x v="73"/>
    <x v="0"/>
    <x v="44"/>
    <x v="1"/>
  </r>
  <r>
    <s v="ORD1077"/>
    <x v="77"/>
    <x v="5"/>
    <x v="2"/>
    <x v="3"/>
    <d v="1903-03-11T00:00:00"/>
    <x v="11"/>
    <x v="74"/>
    <x v="2"/>
    <x v="45"/>
    <x v="1"/>
  </r>
  <r>
    <s v="ORD1078"/>
    <x v="78"/>
    <x v="2"/>
    <x v="3"/>
    <x v="1"/>
    <d v="1901-03-20T00:00:00"/>
    <x v="64"/>
    <x v="75"/>
    <x v="1"/>
    <x v="22"/>
    <x v="0"/>
  </r>
  <r>
    <s v="ORD1079"/>
    <x v="79"/>
    <x v="3"/>
    <x v="0"/>
    <x v="5"/>
    <d v="1902-05-18T00:00:00"/>
    <x v="65"/>
    <x v="76"/>
    <x v="2"/>
    <x v="10"/>
    <x v="0"/>
  </r>
  <r>
    <s v="ORD1080"/>
    <x v="80"/>
    <x v="6"/>
    <x v="0"/>
    <x v="5"/>
    <d v="1901-05-01T00:00:00"/>
    <x v="66"/>
    <x v="77"/>
    <x v="1"/>
    <x v="46"/>
    <x v="0"/>
  </r>
  <r>
    <s v="ORD1081"/>
    <x v="81"/>
    <x v="2"/>
    <x v="2"/>
    <x v="0"/>
    <d v="1902-10-24T00:00:00"/>
    <x v="67"/>
    <x v="78"/>
    <x v="3"/>
    <x v="31"/>
    <x v="0"/>
  </r>
  <r>
    <s v="ORD1082"/>
    <x v="82"/>
    <x v="6"/>
    <x v="5"/>
    <x v="4"/>
    <d v="1903-05-10T00:00:00"/>
    <x v="68"/>
    <x v="79"/>
    <x v="1"/>
    <x v="21"/>
    <x v="0"/>
  </r>
  <r>
    <s v="ORD1083"/>
    <x v="83"/>
    <x v="4"/>
    <x v="5"/>
    <x v="5"/>
    <d v="1902-07-29T00:00:00"/>
    <x v="69"/>
    <x v="80"/>
    <x v="1"/>
    <x v="47"/>
    <x v="1"/>
  </r>
  <r>
    <s v="ORD1084"/>
    <x v="84"/>
    <x v="5"/>
    <x v="0"/>
    <x v="2"/>
    <d v="1900-12-31T00:00:00"/>
    <x v="70"/>
    <x v="81"/>
    <x v="3"/>
    <x v="39"/>
    <x v="0"/>
  </r>
  <r>
    <s v="ORD1085"/>
    <x v="85"/>
    <x v="3"/>
    <x v="0"/>
    <x v="0"/>
    <d v="1902-07-01T00:00:00"/>
    <x v="54"/>
    <x v="82"/>
    <x v="0"/>
    <x v="20"/>
    <x v="1"/>
  </r>
  <r>
    <s v="ORD1086"/>
    <x v="86"/>
    <x v="4"/>
    <x v="5"/>
    <x v="0"/>
    <d v="1900-12-02T00:00:00"/>
    <x v="71"/>
    <x v="83"/>
    <x v="3"/>
    <x v="5"/>
    <x v="0"/>
  </r>
  <r>
    <s v="ORD1087"/>
    <x v="87"/>
    <x v="6"/>
    <x v="1"/>
    <x v="1"/>
    <d v="1901-06-12T00:00:00"/>
    <x v="72"/>
    <x v="84"/>
    <x v="1"/>
    <x v="48"/>
    <x v="0"/>
  </r>
  <r>
    <s v="ORD1088"/>
    <x v="88"/>
    <x v="1"/>
    <x v="5"/>
    <x v="4"/>
    <d v="1901-10-03T00:00:00"/>
    <x v="19"/>
    <x v="85"/>
    <x v="3"/>
    <x v="3"/>
    <x v="0"/>
  </r>
  <r>
    <s v="ORD1089"/>
    <x v="89"/>
    <x v="1"/>
    <x v="3"/>
    <x v="5"/>
    <d v="1903-04-28T00:00:00"/>
    <x v="29"/>
    <x v="86"/>
    <x v="1"/>
    <x v="49"/>
    <x v="1"/>
  </r>
  <r>
    <s v="ORD1090"/>
    <x v="90"/>
    <x v="1"/>
    <x v="1"/>
    <x v="5"/>
    <d v="1903-08-22T00:00:00"/>
    <x v="26"/>
    <x v="87"/>
    <x v="0"/>
    <x v="5"/>
    <x v="0"/>
  </r>
  <r>
    <s v="ORD1091"/>
    <x v="91"/>
    <x v="0"/>
    <x v="3"/>
    <x v="3"/>
    <d v="1900-06-12T00:00:00"/>
    <x v="73"/>
    <x v="88"/>
    <x v="0"/>
    <x v="11"/>
    <x v="1"/>
  </r>
  <r>
    <s v="ORD1092"/>
    <x v="92"/>
    <x v="7"/>
    <x v="0"/>
    <x v="0"/>
    <d v="1900-08-01T00:00:00"/>
    <x v="74"/>
    <x v="89"/>
    <x v="1"/>
    <x v="8"/>
    <x v="0"/>
  </r>
  <r>
    <s v="ORD1093"/>
    <x v="93"/>
    <x v="5"/>
    <x v="1"/>
    <x v="4"/>
    <d v="1901-10-31T00:00:00"/>
    <x v="75"/>
    <x v="90"/>
    <x v="0"/>
    <x v="50"/>
    <x v="0"/>
  </r>
  <r>
    <s v="ORD1094"/>
    <x v="94"/>
    <x v="1"/>
    <x v="3"/>
    <x v="4"/>
    <d v="1903-07-25T00:00:00"/>
    <x v="19"/>
    <x v="91"/>
    <x v="3"/>
    <x v="23"/>
    <x v="1"/>
  </r>
  <r>
    <s v="ORD1095"/>
    <x v="95"/>
    <x v="5"/>
    <x v="3"/>
    <x v="4"/>
    <d v="1902-03-07T00:00:00"/>
    <x v="76"/>
    <x v="92"/>
    <x v="0"/>
    <x v="32"/>
    <x v="1"/>
  </r>
  <r>
    <s v="ORD1096"/>
    <x v="96"/>
    <x v="4"/>
    <x v="1"/>
    <x v="3"/>
    <d v="1903-05-20T00:00:00"/>
    <x v="36"/>
    <x v="93"/>
    <x v="2"/>
    <x v="26"/>
    <x v="0"/>
  </r>
  <r>
    <s v="ORD1097"/>
    <x v="97"/>
    <x v="6"/>
    <x v="2"/>
    <x v="1"/>
    <d v="1903-08-04T00:00:00"/>
    <x v="77"/>
    <x v="63"/>
    <x v="0"/>
    <x v="32"/>
    <x v="0"/>
  </r>
  <r>
    <s v="ORD1098"/>
    <x v="98"/>
    <x v="4"/>
    <x v="5"/>
    <x v="5"/>
    <d v="1902-01-11T00:00:00"/>
    <x v="78"/>
    <x v="94"/>
    <x v="2"/>
    <x v="2"/>
    <x v="0"/>
  </r>
  <r>
    <s v="ORD1099"/>
    <x v="99"/>
    <x v="7"/>
    <x v="4"/>
    <x v="4"/>
    <d v="1901-06-24T00:00:00"/>
    <x v="35"/>
    <x v="95"/>
    <x v="3"/>
    <x v="5"/>
    <x v="1"/>
  </r>
  <r>
    <s v="ORD1100"/>
    <x v="100"/>
    <x v="1"/>
    <x v="3"/>
    <x v="3"/>
    <d v="1901-07-21T00:00:00"/>
    <x v="79"/>
    <x v="48"/>
    <x v="0"/>
    <x v="51"/>
    <x v="1"/>
  </r>
  <r>
    <s v="ORD1101"/>
    <x v="101"/>
    <x v="0"/>
    <x v="5"/>
    <x v="1"/>
    <d v="1901-03-13T00:00:00"/>
    <x v="13"/>
    <x v="96"/>
    <x v="0"/>
    <x v="26"/>
    <x v="0"/>
  </r>
  <r>
    <s v="ORD1102"/>
    <x v="102"/>
    <x v="0"/>
    <x v="4"/>
    <x v="3"/>
    <d v="1901-06-11T00:00:00"/>
    <x v="80"/>
    <x v="97"/>
    <x v="0"/>
    <x v="4"/>
    <x v="1"/>
  </r>
  <r>
    <s v="ORD1103"/>
    <x v="103"/>
    <x v="6"/>
    <x v="5"/>
    <x v="2"/>
    <d v="1901-01-14T00:00:00"/>
    <x v="81"/>
    <x v="98"/>
    <x v="3"/>
    <x v="18"/>
    <x v="0"/>
  </r>
  <r>
    <s v="ORD1104"/>
    <x v="104"/>
    <x v="2"/>
    <x v="0"/>
    <x v="0"/>
    <d v="1903-03-12T00:00:00"/>
    <x v="82"/>
    <x v="99"/>
    <x v="3"/>
    <x v="23"/>
    <x v="0"/>
  </r>
  <r>
    <s v="ORD1105"/>
    <x v="105"/>
    <x v="0"/>
    <x v="4"/>
    <x v="5"/>
    <d v="1900-07-08T00:00:00"/>
    <x v="33"/>
    <x v="100"/>
    <x v="2"/>
    <x v="9"/>
    <x v="0"/>
  </r>
  <r>
    <s v="ORD1106"/>
    <x v="106"/>
    <x v="1"/>
    <x v="5"/>
    <x v="3"/>
    <d v="1903-04-15T00:00:00"/>
    <x v="83"/>
    <x v="101"/>
    <x v="1"/>
    <x v="18"/>
    <x v="1"/>
  </r>
  <r>
    <s v="ORD1107"/>
    <x v="107"/>
    <x v="5"/>
    <x v="3"/>
    <x v="3"/>
    <d v="1900-10-10T00:00:00"/>
    <x v="84"/>
    <x v="102"/>
    <x v="3"/>
    <x v="8"/>
    <x v="1"/>
  </r>
  <r>
    <s v="ORD1108"/>
    <x v="108"/>
    <x v="5"/>
    <x v="4"/>
    <x v="5"/>
    <d v="1900-12-15T00:00:00"/>
    <x v="73"/>
    <x v="103"/>
    <x v="0"/>
    <x v="30"/>
    <x v="1"/>
  </r>
  <r>
    <s v="ORD1109"/>
    <x v="109"/>
    <x v="4"/>
    <x v="0"/>
    <x v="0"/>
    <d v="1902-07-17T00:00:00"/>
    <x v="85"/>
    <x v="104"/>
    <x v="2"/>
    <x v="26"/>
    <x v="1"/>
  </r>
  <r>
    <s v="ORD1110"/>
    <x v="110"/>
    <x v="4"/>
    <x v="1"/>
    <x v="2"/>
    <d v="1902-12-14T00:00:00"/>
    <x v="86"/>
    <x v="105"/>
    <x v="0"/>
    <x v="24"/>
    <x v="0"/>
  </r>
  <r>
    <s v="ORD1111"/>
    <x v="111"/>
    <x v="2"/>
    <x v="3"/>
    <x v="1"/>
    <d v="1903-04-20T00:00:00"/>
    <x v="17"/>
    <x v="106"/>
    <x v="0"/>
    <x v="40"/>
    <x v="1"/>
  </r>
  <r>
    <s v="ORD1112"/>
    <x v="112"/>
    <x v="6"/>
    <x v="0"/>
    <x v="3"/>
    <d v="1903-05-05T00:00:00"/>
    <x v="87"/>
    <x v="107"/>
    <x v="3"/>
    <x v="9"/>
    <x v="0"/>
  </r>
  <r>
    <s v="ORD1113"/>
    <x v="113"/>
    <x v="3"/>
    <x v="0"/>
    <x v="0"/>
    <d v="1901-10-13T00:00:00"/>
    <x v="88"/>
    <x v="108"/>
    <x v="1"/>
    <x v="48"/>
    <x v="1"/>
  </r>
  <r>
    <s v="ORD1114"/>
    <x v="114"/>
    <x v="4"/>
    <x v="4"/>
    <x v="1"/>
    <d v="1901-07-09T00:00:00"/>
    <x v="89"/>
    <x v="109"/>
    <x v="0"/>
    <x v="32"/>
    <x v="1"/>
  </r>
  <r>
    <s v="ORD1115"/>
    <x v="115"/>
    <x v="7"/>
    <x v="5"/>
    <x v="1"/>
    <d v="1902-08-11T00:00:00"/>
    <x v="39"/>
    <x v="110"/>
    <x v="3"/>
    <x v="44"/>
    <x v="1"/>
  </r>
  <r>
    <s v="ORD1116"/>
    <x v="116"/>
    <x v="2"/>
    <x v="1"/>
    <x v="1"/>
    <d v="1900-09-04T00:00:00"/>
    <x v="90"/>
    <x v="111"/>
    <x v="2"/>
    <x v="7"/>
    <x v="0"/>
  </r>
  <r>
    <s v="ORD1117"/>
    <x v="117"/>
    <x v="0"/>
    <x v="3"/>
    <x v="2"/>
    <d v="1902-04-12T00:00:00"/>
    <x v="91"/>
    <x v="29"/>
    <x v="0"/>
    <x v="42"/>
    <x v="1"/>
  </r>
  <r>
    <s v="ORD1118"/>
    <x v="118"/>
    <x v="6"/>
    <x v="3"/>
    <x v="2"/>
    <d v="1902-05-24T00:00:00"/>
    <x v="51"/>
    <x v="112"/>
    <x v="2"/>
    <x v="26"/>
    <x v="1"/>
  </r>
  <r>
    <s v="ORD1119"/>
    <x v="119"/>
    <x v="3"/>
    <x v="5"/>
    <x v="1"/>
    <d v="1903-01-14T00:00:00"/>
    <x v="14"/>
    <x v="113"/>
    <x v="3"/>
    <x v="29"/>
    <x v="0"/>
  </r>
  <r>
    <s v="ORD1120"/>
    <x v="120"/>
    <x v="7"/>
    <x v="1"/>
    <x v="4"/>
    <d v="1902-01-31T00:00:00"/>
    <x v="92"/>
    <x v="114"/>
    <x v="3"/>
    <x v="2"/>
    <x v="0"/>
  </r>
  <r>
    <s v="ORD1121"/>
    <x v="121"/>
    <x v="6"/>
    <x v="4"/>
    <x v="5"/>
    <d v="1902-03-02T00:00:00"/>
    <x v="93"/>
    <x v="52"/>
    <x v="3"/>
    <x v="48"/>
    <x v="0"/>
  </r>
  <r>
    <s v="ORD1122"/>
    <x v="122"/>
    <x v="7"/>
    <x v="3"/>
    <x v="2"/>
    <d v="1903-03-23T00:00:00"/>
    <x v="94"/>
    <x v="115"/>
    <x v="3"/>
    <x v="52"/>
    <x v="0"/>
  </r>
  <r>
    <s v="ORD1123"/>
    <x v="123"/>
    <x v="6"/>
    <x v="1"/>
    <x v="4"/>
    <d v="1903-10-22T00:00:00"/>
    <x v="95"/>
    <x v="116"/>
    <x v="3"/>
    <x v="40"/>
    <x v="0"/>
  </r>
  <r>
    <s v="ORD1124"/>
    <x v="124"/>
    <x v="1"/>
    <x v="4"/>
    <x v="4"/>
    <d v="1901-10-13T00:00:00"/>
    <x v="96"/>
    <x v="32"/>
    <x v="1"/>
    <x v="53"/>
    <x v="0"/>
  </r>
  <r>
    <s v="ORD1125"/>
    <x v="125"/>
    <x v="2"/>
    <x v="4"/>
    <x v="3"/>
    <d v="1902-07-04T00:00:00"/>
    <x v="97"/>
    <x v="117"/>
    <x v="2"/>
    <x v="17"/>
    <x v="1"/>
  </r>
  <r>
    <s v="ORD1126"/>
    <x v="126"/>
    <x v="1"/>
    <x v="3"/>
    <x v="5"/>
    <d v="1901-06-30T00:00:00"/>
    <x v="98"/>
    <x v="118"/>
    <x v="1"/>
    <x v="26"/>
    <x v="0"/>
  </r>
  <r>
    <s v="ORD1127"/>
    <x v="127"/>
    <x v="4"/>
    <x v="5"/>
    <x v="1"/>
    <d v="1902-10-16T00:00:00"/>
    <x v="58"/>
    <x v="119"/>
    <x v="2"/>
    <x v="5"/>
    <x v="1"/>
  </r>
  <r>
    <s v="ORD1128"/>
    <x v="128"/>
    <x v="4"/>
    <x v="2"/>
    <x v="3"/>
    <d v="1902-08-01T00:00:00"/>
    <x v="99"/>
    <x v="120"/>
    <x v="0"/>
    <x v="30"/>
    <x v="0"/>
  </r>
  <r>
    <s v="ORD1129"/>
    <x v="129"/>
    <x v="7"/>
    <x v="3"/>
    <x v="3"/>
    <d v="1901-06-25T00:00:00"/>
    <x v="100"/>
    <x v="121"/>
    <x v="0"/>
    <x v="44"/>
    <x v="1"/>
  </r>
  <r>
    <s v="ORD1130"/>
    <x v="130"/>
    <x v="2"/>
    <x v="0"/>
    <x v="4"/>
    <d v="1900-12-21T00:00:00"/>
    <x v="101"/>
    <x v="122"/>
    <x v="2"/>
    <x v="17"/>
    <x v="1"/>
  </r>
  <r>
    <s v="ORD1131"/>
    <x v="131"/>
    <x v="1"/>
    <x v="0"/>
    <x v="4"/>
    <d v="1903-04-02T00:00:00"/>
    <x v="86"/>
    <x v="123"/>
    <x v="0"/>
    <x v="30"/>
    <x v="1"/>
  </r>
  <r>
    <s v="ORD1132"/>
    <x v="132"/>
    <x v="4"/>
    <x v="4"/>
    <x v="4"/>
    <d v="1902-11-06T00:00:00"/>
    <x v="102"/>
    <x v="124"/>
    <x v="0"/>
    <x v="50"/>
    <x v="0"/>
  </r>
  <r>
    <s v="ORD1133"/>
    <x v="133"/>
    <x v="4"/>
    <x v="2"/>
    <x v="1"/>
    <d v="1902-10-09T00:00:00"/>
    <x v="57"/>
    <x v="125"/>
    <x v="0"/>
    <x v="45"/>
    <x v="0"/>
  </r>
  <r>
    <s v="ORD1134"/>
    <x v="134"/>
    <x v="1"/>
    <x v="3"/>
    <x v="1"/>
    <d v="1902-06-10T00:00:00"/>
    <x v="41"/>
    <x v="126"/>
    <x v="1"/>
    <x v="27"/>
    <x v="0"/>
  </r>
  <r>
    <s v="ORD1135"/>
    <x v="135"/>
    <x v="5"/>
    <x v="0"/>
    <x v="3"/>
    <d v="1903-11-14T00:00:00"/>
    <x v="103"/>
    <x v="127"/>
    <x v="1"/>
    <x v="54"/>
    <x v="0"/>
  </r>
  <r>
    <s v="ORD1136"/>
    <x v="136"/>
    <x v="1"/>
    <x v="0"/>
    <x v="3"/>
    <d v="1901-12-13T00:00:00"/>
    <x v="104"/>
    <x v="128"/>
    <x v="3"/>
    <x v="16"/>
    <x v="1"/>
  </r>
  <r>
    <s v="ORD1137"/>
    <x v="137"/>
    <x v="7"/>
    <x v="3"/>
    <x v="2"/>
    <d v="1903-03-15T00:00:00"/>
    <x v="105"/>
    <x v="129"/>
    <x v="2"/>
    <x v="15"/>
    <x v="0"/>
  </r>
  <r>
    <s v="ORD1138"/>
    <x v="138"/>
    <x v="7"/>
    <x v="1"/>
    <x v="2"/>
    <d v="1900-09-01T00:00:00"/>
    <x v="106"/>
    <x v="130"/>
    <x v="0"/>
    <x v="17"/>
    <x v="0"/>
  </r>
  <r>
    <s v="ORD1139"/>
    <x v="139"/>
    <x v="3"/>
    <x v="4"/>
    <x v="4"/>
    <d v="1901-09-25T00:00:00"/>
    <x v="107"/>
    <x v="131"/>
    <x v="2"/>
    <x v="10"/>
    <x v="0"/>
  </r>
  <r>
    <s v="ORD1140"/>
    <x v="140"/>
    <x v="5"/>
    <x v="3"/>
    <x v="1"/>
    <d v="1901-01-14T00:00:00"/>
    <x v="83"/>
    <x v="132"/>
    <x v="3"/>
    <x v="55"/>
    <x v="1"/>
  </r>
  <r>
    <s v="ORD1141"/>
    <x v="141"/>
    <x v="6"/>
    <x v="1"/>
    <x v="1"/>
    <d v="1902-06-16T00:00:00"/>
    <x v="108"/>
    <x v="51"/>
    <x v="3"/>
    <x v="0"/>
    <x v="0"/>
  </r>
  <r>
    <s v="ORD1142"/>
    <x v="142"/>
    <x v="2"/>
    <x v="4"/>
    <x v="3"/>
    <d v="1903-09-05T00:00:00"/>
    <x v="92"/>
    <x v="133"/>
    <x v="0"/>
    <x v="46"/>
    <x v="0"/>
  </r>
  <r>
    <s v="ORD1143"/>
    <x v="143"/>
    <x v="7"/>
    <x v="2"/>
    <x v="5"/>
    <d v="1901-11-20T00:00:00"/>
    <x v="109"/>
    <x v="134"/>
    <x v="3"/>
    <x v="13"/>
    <x v="0"/>
  </r>
  <r>
    <s v="ORD1144"/>
    <x v="144"/>
    <x v="5"/>
    <x v="5"/>
    <x v="4"/>
    <d v="1903-04-23T00:00:00"/>
    <x v="33"/>
    <x v="135"/>
    <x v="0"/>
    <x v="32"/>
    <x v="0"/>
  </r>
  <r>
    <s v="ORD1145"/>
    <x v="145"/>
    <x v="3"/>
    <x v="4"/>
    <x v="2"/>
    <d v="1901-11-04T00:00:00"/>
    <x v="110"/>
    <x v="136"/>
    <x v="3"/>
    <x v="30"/>
    <x v="0"/>
  </r>
  <r>
    <s v="ORD1146"/>
    <x v="146"/>
    <x v="6"/>
    <x v="2"/>
    <x v="5"/>
    <d v="1903-08-25T00:00:00"/>
    <x v="58"/>
    <x v="137"/>
    <x v="3"/>
    <x v="48"/>
    <x v="0"/>
  </r>
  <r>
    <s v="ORD1147"/>
    <x v="147"/>
    <x v="0"/>
    <x v="5"/>
    <x v="1"/>
    <d v="1903-11-16T00:00:00"/>
    <x v="111"/>
    <x v="138"/>
    <x v="0"/>
    <x v="15"/>
    <x v="0"/>
  </r>
  <r>
    <s v="ORD1148"/>
    <x v="148"/>
    <x v="3"/>
    <x v="0"/>
    <x v="2"/>
    <d v="1903-06-12T00:00:00"/>
    <x v="22"/>
    <x v="139"/>
    <x v="3"/>
    <x v="53"/>
    <x v="1"/>
  </r>
  <r>
    <s v="ORD1149"/>
    <x v="149"/>
    <x v="2"/>
    <x v="0"/>
    <x v="4"/>
    <d v="1901-12-27T00:00:00"/>
    <x v="112"/>
    <x v="140"/>
    <x v="3"/>
    <x v="3"/>
    <x v="1"/>
  </r>
  <r>
    <s v="ORD1150"/>
    <x v="150"/>
    <x v="4"/>
    <x v="0"/>
    <x v="1"/>
    <d v="1902-04-10T00:00:00"/>
    <x v="113"/>
    <x v="124"/>
    <x v="3"/>
    <x v="5"/>
    <x v="0"/>
  </r>
  <r>
    <s v="ORD1151"/>
    <x v="151"/>
    <x v="0"/>
    <x v="4"/>
    <x v="4"/>
    <d v="1901-12-06T00:00:00"/>
    <x v="114"/>
    <x v="141"/>
    <x v="2"/>
    <x v="46"/>
    <x v="1"/>
  </r>
  <r>
    <s v="ORD1152"/>
    <x v="152"/>
    <x v="5"/>
    <x v="1"/>
    <x v="3"/>
    <d v="1903-03-07T00:00:00"/>
    <x v="115"/>
    <x v="142"/>
    <x v="1"/>
    <x v="9"/>
    <x v="0"/>
  </r>
  <r>
    <s v="ORD1153"/>
    <x v="153"/>
    <x v="6"/>
    <x v="5"/>
    <x v="5"/>
    <d v="1902-03-05T00:00:00"/>
    <x v="116"/>
    <x v="143"/>
    <x v="2"/>
    <x v="0"/>
    <x v="1"/>
  </r>
  <r>
    <s v="ORD1154"/>
    <x v="154"/>
    <x v="1"/>
    <x v="0"/>
    <x v="5"/>
    <d v="1902-08-02T00:00:00"/>
    <x v="117"/>
    <x v="144"/>
    <x v="3"/>
    <x v="49"/>
    <x v="0"/>
  </r>
  <r>
    <s v="ORD1155"/>
    <x v="155"/>
    <x v="3"/>
    <x v="3"/>
    <x v="5"/>
    <d v="1903-04-15T00:00:00"/>
    <x v="3"/>
    <x v="145"/>
    <x v="1"/>
    <x v="4"/>
    <x v="0"/>
  </r>
  <r>
    <s v="ORD1156"/>
    <x v="156"/>
    <x v="2"/>
    <x v="5"/>
    <x v="0"/>
    <d v="1903-11-04T00:00:00"/>
    <x v="118"/>
    <x v="146"/>
    <x v="2"/>
    <x v="21"/>
    <x v="0"/>
  </r>
  <r>
    <s v="ORD1157"/>
    <x v="157"/>
    <x v="6"/>
    <x v="5"/>
    <x v="4"/>
    <d v="1900-12-04T00:00:00"/>
    <x v="6"/>
    <x v="147"/>
    <x v="2"/>
    <x v="46"/>
    <x v="0"/>
  </r>
  <r>
    <s v="ORD1158"/>
    <x v="158"/>
    <x v="3"/>
    <x v="1"/>
    <x v="5"/>
    <d v="1903-10-29T00:00:00"/>
    <x v="119"/>
    <x v="148"/>
    <x v="2"/>
    <x v="56"/>
    <x v="1"/>
  </r>
  <r>
    <s v="ORD1159"/>
    <x v="159"/>
    <x v="3"/>
    <x v="2"/>
    <x v="3"/>
    <d v="1903-12-26T00:00:00"/>
    <x v="54"/>
    <x v="149"/>
    <x v="0"/>
    <x v="10"/>
    <x v="0"/>
  </r>
  <r>
    <s v="ORD1160"/>
    <x v="160"/>
    <x v="1"/>
    <x v="1"/>
    <x v="5"/>
    <d v="1902-02-20T00:00:00"/>
    <x v="11"/>
    <x v="150"/>
    <x v="3"/>
    <x v="4"/>
    <x v="1"/>
  </r>
  <r>
    <s v="ORD1161"/>
    <x v="161"/>
    <x v="0"/>
    <x v="0"/>
    <x v="4"/>
    <d v="1902-02-15T00:00:00"/>
    <x v="120"/>
    <x v="151"/>
    <x v="3"/>
    <x v="54"/>
    <x v="1"/>
  </r>
  <r>
    <s v="ORD1162"/>
    <x v="162"/>
    <x v="3"/>
    <x v="3"/>
    <x v="5"/>
    <d v="1903-01-26T00:00:00"/>
    <x v="34"/>
    <x v="152"/>
    <x v="1"/>
    <x v="16"/>
    <x v="0"/>
  </r>
  <r>
    <s v="ORD1163"/>
    <x v="163"/>
    <x v="4"/>
    <x v="3"/>
    <x v="4"/>
    <d v="1903-12-02T00:00:00"/>
    <x v="121"/>
    <x v="153"/>
    <x v="2"/>
    <x v="10"/>
    <x v="1"/>
  </r>
  <r>
    <s v="ORD1164"/>
    <x v="164"/>
    <x v="7"/>
    <x v="0"/>
    <x v="1"/>
    <d v="1902-05-08T00:00:00"/>
    <x v="101"/>
    <x v="154"/>
    <x v="3"/>
    <x v="13"/>
    <x v="0"/>
  </r>
  <r>
    <s v="ORD1165"/>
    <x v="165"/>
    <x v="1"/>
    <x v="3"/>
    <x v="3"/>
    <d v="1902-03-08T00:00:00"/>
    <x v="83"/>
    <x v="155"/>
    <x v="2"/>
    <x v="32"/>
    <x v="1"/>
  </r>
  <r>
    <s v="ORD1166"/>
    <x v="166"/>
    <x v="3"/>
    <x v="1"/>
    <x v="4"/>
    <d v="1901-04-11T00:00:00"/>
    <x v="122"/>
    <x v="156"/>
    <x v="3"/>
    <x v="9"/>
    <x v="0"/>
  </r>
  <r>
    <s v="ORD1167"/>
    <x v="167"/>
    <x v="0"/>
    <x v="4"/>
    <x v="4"/>
    <d v="1903-10-29T00:00:00"/>
    <x v="123"/>
    <x v="157"/>
    <x v="2"/>
    <x v="39"/>
    <x v="1"/>
  </r>
  <r>
    <s v="ORD1168"/>
    <x v="168"/>
    <x v="3"/>
    <x v="1"/>
    <x v="0"/>
    <d v="1903-11-07T00:00:00"/>
    <x v="124"/>
    <x v="158"/>
    <x v="3"/>
    <x v="35"/>
    <x v="1"/>
  </r>
  <r>
    <s v="ORD1169"/>
    <x v="169"/>
    <x v="3"/>
    <x v="4"/>
    <x v="1"/>
    <d v="1902-04-12T00:00:00"/>
    <x v="87"/>
    <x v="159"/>
    <x v="1"/>
    <x v="47"/>
    <x v="0"/>
  </r>
  <r>
    <s v="ORD1170"/>
    <x v="170"/>
    <x v="4"/>
    <x v="0"/>
    <x v="3"/>
    <d v="1902-03-23T00:00:00"/>
    <x v="15"/>
    <x v="160"/>
    <x v="2"/>
    <x v="51"/>
    <x v="1"/>
  </r>
  <r>
    <s v="ORD1171"/>
    <x v="171"/>
    <x v="6"/>
    <x v="3"/>
    <x v="0"/>
    <d v="1903-11-06T00:00:00"/>
    <x v="83"/>
    <x v="161"/>
    <x v="3"/>
    <x v="55"/>
    <x v="1"/>
  </r>
  <r>
    <s v="ORD1172"/>
    <x v="172"/>
    <x v="5"/>
    <x v="5"/>
    <x v="5"/>
    <d v="1903-07-09T00:00:00"/>
    <x v="125"/>
    <x v="162"/>
    <x v="1"/>
    <x v="30"/>
    <x v="0"/>
  </r>
  <r>
    <s v="ORD1173"/>
    <x v="173"/>
    <x v="7"/>
    <x v="2"/>
    <x v="4"/>
    <d v="1901-08-13T00:00:00"/>
    <x v="126"/>
    <x v="163"/>
    <x v="1"/>
    <x v="50"/>
    <x v="0"/>
  </r>
  <r>
    <s v="ORD1174"/>
    <x v="174"/>
    <x v="7"/>
    <x v="5"/>
    <x v="3"/>
    <d v="1901-12-13T00:00:00"/>
    <x v="127"/>
    <x v="164"/>
    <x v="3"/>
    <x v="11"/>
    <x v="0"/>
  </r>
  <r>
    <s v="ORD1175"/>
    <x v="175"/>
    <x v="3"/>
    <x v="4"/>
    <x v="1"/>
    <d v="1903-12-11T00:00:00"/>
    <x v="128"/>
    <x v="165"/>
    <x v="2"/>
    <x v="10"/>
    <x v="0"/>
  </r>
  <r>
    <s v="ORD1176"/>
    <x v="176"/>
    <x v="1"/>
    <x v="1"/>
    <x v="0"/>
    <d v="1903-07-09T00:00:00"/>
    <x v="129"/>
    <x v="166"/>
    <x v="0"/>
    <x v="38"/>
    <x v="1"/>
  </r>
  <r>
    <s v="ORD1177"/>
    <x v="177"/>
    <x v="5"/>
    <x v="1"/>
    <x v="4"/>
    <d v="1903-01-05T00:00:00"/>
    <x v="130"/>
    <x v="167"/>
    <x v="1"/>
    <x v="42"/>
    <x v="0"/>
  </r>
  <r>
    <s v="ORD1178"/>
    <x v="178"/>
    <x v="5"/>
    <x v="1"/>
    <x v="2"/>
    <d v="1903-06-07T00:00:00"/>
    <x v="131"/>
    <x v="3"/>
    <x v="1"/>
    <x v="57"/>
    <x v="0"/>
  </r>
  <r>
    <s v="ORD1179"/>
    <x v="179"/>
    <x v="5"/>
    <x v="1"/>
    <x v="3"/>
    <d v="1902-04-27T00:00:00"/>
    <x v="132"/>
    <x v="168"/>
    <x v="3"/>
    <x v="45"/>
    <x v="0"/>
  </r>
  <r>
    <s v="ORD1180"/>
    <x v="180"/>
    <x v="0"/>
    <x v="2"/>
    <x v="0"/>
    <d v="1900-09-18T00:00:00"/>
    <x v="133"/>
    <x v="53"/>
    <x v="0"/>
    <x v="41"/>
    <x v="0"/>
  </r>
  <r>
    <s v="ORD1181"/>
    <x v="181"/>
    <x v="0"/>
    <x v="0"/>
    <x v="1"/>
    <d v="1900-05-30T00:00:00"/>
    <x v="134"/>
    <x v="169"/>
    <x v="0"/>
    <x v="40"/>
    <x v="1"/>
  </r>
  <r>
    <s v="ORD1182"/>
    <x v="182"/>
    <x v="4"/>
    <x v="1"/>
    <x v="0"/>
    <d v="1902-03-01T00:00:00"/>
    <x v="135"/>
    <x v="170"/>
    <x v="0"/>
    <x v="37"/>
    <x v="1"/>
  </r>
  <r>
    <s v="ORD1183"/>
    <x v="183"/>
    <x v="1"/>
    <x v="4"/>
    <x v="0"/>
    <d v="1901-01-03T00:00:00"/>
    <x v="136"/>
    <x v="171"/>
    <x v="3"/>
    <x v="56"/>
    <x v="1"/>
  </r>
  <r>
    <s v="ORD1184"/>
    <x v="184"/>
    <x v="5"/>
    <x v="3"/>
    <x v="0"/>
    <d v="1902-09-30T00:00:00"/>
    <x v="66"/>
    <x v="1"/>
    <x v="2"/>
    <x v="50"/>
    <x v="0"/>
  </r>
  <r>
    <s v="ORD1185"/>
    <x v="185"/>
    <x v="2"/>
    <x v="2"/>
    <x v="5"/>
    <d v="1903-10-29T00:00:00"/>
    <x v="137"/>
    <x v="172"/>
    <x v="1"/>
    <x v="31"/>
    <x v="1"/>
  </r>
  <r>
    <s v="ORD1186"/>
    <x v="186"/>
    <x v="7"/>
    <x v="4"/>
    <x v="2"/>
    <d v="1901-06-17T00:00:00"/>
    <x v="138"/>
    <x v="173"/>
    <x v="3"/>
    <x v="28"/>
    <x v="1"/>
  </r>
  <r>
    <s v="ORD1187"/>
    <x v="187"/>
    <x v="3"/>
    <x v="4"/>
    <x v="1"/>
    <d v="1903-07-26T00:00:00"/>
    <x v="93"/>
    <x v="174"/>
    <x v="0"/>
    <x v="10"/>
    <x v="0"/>
  </r>
  <r>
    <s v="ORD1188"/>
    <x v="188"/>
    <x v="3"/>
    <x v="1"/>
    <x v="1"/>
    <d v="1903-05-10T00:00:00"/>
    <x v="139"/>
    <x v="175"/>
    <x v="1"/>
    <x v="25"/>
    <x v="1"/>
  </r>
  <r>
    <s v="ORD1189"/>
    <x v="189"/>
    <x v="5"/>
    <x v="3"/>
    <x v="1"/>
    <d v="1902-05-28T00:00:00"/>
    <x v="140"/>
    <x v="176"/>
    <x v="1"/>
    <x v="13"/>
    <x v="1"/>
  </r>
  <r>
    <s v="ORD1190"/>
    <x v="190"/>
    <x v="5"/>
    <x v="1"/>
    <x v="4"/>
    <d v="1901-01-30T00:00:00"/>
    <x v="3"/>
    <x v="177"/>
    <x v="0"/>
    <x v="39"/>
    <x v="0"/>
  </r>
  <r>
    <s v="ORD1191"/>
    <x v="191"/>
    <x v="2"/>
    <x v="4"/>
    <x v="3"/>
    <d v="1902-09-11T00:00:00"/>
    <x v="141"/>
    <x v="35"/>
    <x v="0"/>
    <x v="8"/>
    <x v="1"/>
  </r>
  <r>
    <s v="ORD1192"/>
    <x v="192"/>
    <x v="3"/>
    <x v="0"/>
    <x v="1"/>
    <d v="1900-12-17T00:00:00"/>
    <x v="142"/>
    <x v="178"/>
    <x v="1"/>
    <x v="57"/>
    <x v="0"/>
  </r>
  <r>
    <s v="ORD1193"/>
    <x v="193"/>
    <x v="4"/>
    <x v="2"/>
    <x v="3"/>
    <d v="1903-09-18T00:00:00"/>
    <x v="143"/>
    <x v="30"/>
    <x v="1"/>
    <x v="17"/>
    <x v="1"/>
  </r>
  <r>
    <s v="ORD1194"/>
    <x v="194"/>
    <x v="5"/>
    <x v="0"/>
    <x v="1"/>
    <d v="1900-09-28T00:00:00"/>
    <x v="70"/>
    <x v="179"/>
    <x v="2"/>
    <x v="43"/>
    <x v="1"/>
  </r>
  <r>
    <s v="ORD1195"/>
    <x v="195"/>
    <x v="7"/>
    <x v="2"/>
    <x v="2"/>
    <d v="1901-07-03T00:00:00"/>
    <x v="137"/>
    <x v="180"/>
    <x v="2"/>
    <x v="2"/>
    <x v="0"/>
  </r>
  <r>
    <s v="ORD1196"/>
    <x v="196"/>
    <x v="6"/>
    <x v="1"/>
    <x v="4"/>
    <d v="1902-07-04T00:00:00"/>
    <x v="117"/>
    <x v="181"/>
    <x v="3"/>
    <x v="21"/>
    <x v="1"/>
  </r>
  <r>
    <s v="ORD1197"/>
    <x v="197"/>
    <x v="1"/>
    <x v="1"/>
    <x v="4"/>
    <d v="1901-03-18T00:00:00"/>
    <x v="144"/>
    <x v="182"/>
    <x v="1"/>
    <x v="19"/>
    <x v="0"/>
  </r>
  <r>
    <s v="ORD1198"/>
    <x v="198"/>
    <x v="4"/>
    <x v="2"/>
    <x v="0"/>
    <d v="1901-03-04T00:00:00"/>
    <x v="53"/>
    <x v="183"/>
    <x v="2"/>
    <x v="52"/>
    <x v="0"/>
  </r>
  <r>
    <s v="ORD1199"/>
    <x v="199"/>
    <x v="7"/>
    <x v="3"/>
    <x v="5"/>
    <d v="1902-10-29T00:00:00"/>
    <x v="145"/>
    <x v="184"/>
    <x v="1"/>
    <x v="1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12B12C-38BC-4E95-851C-0BE2BE46DBEF}" name="PivotTable19" cacheId="0" applyNumberFormats="0" applyBorderFormats="0" applyFontFormats="0" applyPatternFormats="0" applyAlignmentFormats="0" applyWidthHeightFormats="1" dataCaption="Values" grandTotalCaption="x" updatedVersion="7" minRefreshableVersion="3" useAutoFormatting="1" itemPrintTitles="1" createdVersion="7" indent="0" outline="1" outlineData="1" multipleFieldFilters="0" chartFormat="6" rowHeaderCaption="Customer Location">
  <location ref="D24:E31" firstHeaderRow="1" firstDataRow="1" firstDataCol="1"/>
  <pivotFields count="13">
    <pivotField showAll="0"/>
    <pivotField numFmtId="164" showAll="0">
      <items count="15">
        <item h="1" x="0"/>
        <item h="1" x="1"/>
        <item h="1" x="2"/>
        <item h="1" x="3"/>
        <item h="1" x="4"/>
        <item h="1" x="5"/>
        <item h="1" x="6"/>
        <item x="7"/>
        <item h="1" x="8"/>
        <item h="1" x="9"/>
        <item h="1" x="10"/>
        <item h="1" x="11"/>
        <item h="1" x="12"/>
        <item h="1" x="13"/>
        <item t="default"/>
      </items>
    </pivotField>
    <pivotField showAll="0" sortType="descending">
      <items count="9">
        <item x="5"/>
        <item x="6"/>
        <item x="3"/>
        <item x="2"/>
        <item x="1"/>
        <item x="4"/>
        <item x="7"/>
        <item x="0"/>
        <item t="default"/>
      </items>
    </pivotField>
    <pivotField showAll="0">
      <items count="7">
        <item h="1" x="2"/>
        <item x="5"/>
        <item x="1"/>
        <item h="1" x="0"/>
        <item h="1" x="3"/>
        <item h="1" x="4"/>
        <item t="default"/>
      </items>
    </pivotField>
    <pivotField axis="axisRow" showAll="0">
      <items count="7">
        <item x="2"/>
        <item x="5"/>
        <item x="4"/>
        <item x="1"/>
        <item x="0"/>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186">
        <item x="88"/>
        <item x="169"/>
        <item x="111"/>
        <item x="49"/>
        <item x="10"/>
        <item x="57"/>
        <item x="89"/>
        <item x="67"/>
        <item x="179"/>
        <item x="43"/>
        <item x="45"/>
        <item x="68"/>
        <item x="103"/>
        <item x="13"/>
        <item x="98"/>
        <item x="102"/>
        <item x="25"/>
        <item x="130"/>
        <item x="100"/>
        <item x="81"/>
        <item x="6"/>
        <item x="21"/>
        <item x="178"/>
        <item x="53"/>
        <item x="171"/>
        <item x="183"/>
        <item x="34"/>
        <item x="70"/>
        <item x="147"/>
        <item x="58"/>
        <item x="50"/>
        <item x="156"/>
        <item x="177"/>
        <item x="173"/>
        <item x="122"/>
        <item x="109"/>
        <item x="83"/>
        <item x="77"/>
        <item x="96"/>
        <item x="48"/>
        <item x="65"/>
        <item x="132"/>
        <item x="9"/>
        <item x="182"/>
        <item x="16"/>
        <item x="95"/>
        <item x="55"/>
        <item x="18"/>
        <item x="121"/>
        <item x="26"/>
        <item x="134"/>
        <item x="47"/>
        <item x="7"/>
        <item x="75"/>
        <item x="23"/>
        <item x="164"/>
        <item x="62"/>
        <item x="180"/>
        <item x="131"/>
        <item x="94"/>
        <item x="108"/>
        <item x="72"/>
        <item x="97"/>
        <item x="170"/>
        <item x="84"/>
        <item x="118"/>
        <item x="143"/>
        <item x="85"/>
        <item x="52"/>
        <item x="136"/>
        <item x="90"/>
        <item x="29"/>
        <item x="163"/>
        <item x="114"/>
        <item x="141"/>
        <item x="92"/>
        <item x="32"/>
        <item x="140"/>
        <item x="151"/>
        <item x="150"/>
        <item x="27"/>
        <item x="128"/>
        <item x="31"/>
        <item x="38"/>
        <item x="160"/>
        <item x="17"/>
        <item x="112"/>
        <item x="36"/>
        <item x="159"/>
        <item x="51"/>
        <item x="42"/>
        <item x="176"/>
        <item x="126"/>
        <item x="155"/>
        <item x="117"/>
        <item x="82"/>
        <item x="119"/>
        <item x="154"/>
        <item x="80"/>
        <item x="56"/>
        <item x="105"/>
        <item x="168"/>
        <item x="120"/>
        <item x="1"/>
        <item x="64"/>
        <item x="104"/>
        <item x="54"/>
        <item x="40"/>
        <item x="124"/>
        <item x="66"/>
        <item x="184"/>
        <item x="76"/>
        <item x="110"/>
        <item x="28"/>
        <item x="181"/>
        <item x="12"/>
        <item x="15"/>
        <item x="44"/>
        <item x="144"/>
        <item x="35"/>
        <item x="123"/>
        <item x="99"/>
        <item x="37"/>
        <item x="125"/>
        <item x="142"/>
        <item x="167"/>
        <item x="78"/>
        <item x="129"/>
        <item x="86"/>
        <item x="5"/>
        <item x="60"/>
        <item x="152"/>
        <item x="20"/>
        <item x="74"/>
        <item x="33"/>
        <item x="106"/>
        <item x="174"/>
        <item x="145"/>
        <item x="19"/>
        <item x="137"/>
        <item x="113"/>
        <item x="30"/>
        <item x="22"/>
        <item x="107"/>
        <item x="69"/>
        <item x="93"/>
        <item x="63"/>
        <item x="11"/>
        <item x="158"/>
        <item x="8"/>
        <item x="146"/>
        <item x="3"/>
        <item x="73"/>
        <item x="101"/>
        <item x="4"/>
        <item x="61"/>
        <item x="175"/>
        <item x="165"/>
        <item x="115"/>
        <item x="135"/>
        <item x="153"/>
        <item x="71"/>
        <item x="162"/>
        <item x="133"/>
        <item x="0"/>
        <item x="41"/>
        <item x="166"/>
        <item x="139"/>
        <item x="91"/>
        <item x="2"/>
        <item x="79"/>
        <item x="46"/>
        <item x="59"/>
        <item x="127"/>
        <item x="157"/>
        <item x="148"/>
        <item x="87"/>
        <item x="39"/>
        <item x="149"/>
        <item x="172"/>
        <item x="161"/>
        <item x="14"/>
        <item x="138"/>
        <item x="24"/>
        <item x="116"/>
        <item t="default"/>
      </items>
    </pivotField>
    <pivotField showAll="0">
      <items count="5">
        <item x="2"/>
        <item x="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Count of Final Amount (₹)" fld="7" subtotal="count" baseField="0" baseItem="0"/>
  </dataFields>
  <chartFormats count="1">
    <chartFormat chart="4"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990DAD-28A1-4AA4-9944-7C311FBEED3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orders by payment method">
  <location ref="E6:F11" firstHeaderRow="1" firstDataRow="1" firstDataCol="1"/>
  <pivotFields count="13">
    <pivotField dataField="1" showAll="0"/>
    <pivotField numFmtId="165" showAll="0">
      <items count="15">
        <item x="0"/>
        <item x="1"/>
        <item x="2"/>
        <item x="3"/>
        <item x="4"/>
        <item x="5"/>
        <item x="6"/>
        <item x="7"/>
        <item x="8"/>
        <item x="9"/>
        <item x="10"/>
        <item x="11"/>
        <item x="12"/>
        <item x="13"/>
        <item t="default"/>
      </items>
    </pivotField>
    <pivotField showAll="0"/>
    <pivotField showAll="0"/>
    <pivotField showAll="0"/>
    <pivotField numFmtId="165" showAll="0"/>
    <pivotField numFmtId="165" showAll="0"/>
    <pivotField numFmtId="165" showAll="0">
      <items count="186">
        <item x="88"/>
        <item x="169"/>
        <item x="111"/>
        <item x="49"/>
        <item x="10"/>
        <item x="57"/>
        <item x="89"/>
        <item x="67"/>
        <item x="179"/>
        <item x="43"/>
        <item x="45"/>
        <item x="68"/>
        <item x="103"/>
        <item x="13"/>
        <item x="98"/>
        <item x="102"/>
        <item x="25"/>
        <item x="130"/>
        <item x="100"/>
        <item x="81"/>
        <item x="6"/>
        <item x="21"/>
        <item x="178"/>
        <item x="53"/>
        <item x="171"/>
        <item x="183"/>
        <item x="34"/>
        <item x="70"/>
        <item x="147"/>
        <item x="58"/>
        <item x="50"/>
        <item x="156"/>
        <item x="177"/>
        <item x="173"/>
        <item x="122"/>
        <item x="109"/>
        <item x="83"/>
        <item x="77"/>
        <item x="96"/>
        <item x="48"/>
        <item x="65"/>
        <item x="132"/>
        <item x="9"/>
        <item x="182"/>
        <item x="16"/>
        <item x="95"/>
        <item x="55"/>
        <item x="18"/>
        <item x="121"/>
        <item x="26"/>
        <item x="134"/>
        <item x="47"/>
        <item x="7"/>
        <item x="75"/>
        <item x="23"/>
        <item x="164"/>
        <item x="62"/>
        <item x="180"/>
        <item x="131"/>
        <item x="94"/>
        <item x="108"/>
        <item x="72"/>
        <item x="97"/>
        <item x="170"/>
        <item x="84"/>
        <item x="118"/>
        <item x="143"/>
        <item x="85"/>
        <item x="52"/>
        <item x="136"/>
        <item x="90"/>
        <item x="29"/>
        <item x="163"/>
        <item x="114"/>
        <item x="141"/>
        <item x="92"/>
        <item x="32"/>
        <item x="140"/>
        <item x="151"/>
        <item x="150"/>
        <item x="27"/>
        <item x="128"/>
        <item x="31"/>
        <item x="38"/>
        <item x="160"/>
        <item x="17"/>
        <item x="112"/>
        <item x="36"/>
        <item x="159"/>
        <item x="51"/>
        <item x="42"/>
        <item x="176"/>
        <item x="126"/>
        <item x="155"/>
        <item x="117"/>
        <item x="82"/>
        <item x="119"/>
        <item x="154"/>
        <item x="80"/>
        <item x="56"/>
        <item x="105"/>
        <item x="168"/>
        <item x="120"/>
        <item x="1"/>
        <item x="64"/>
        <item x="104"/>
        <item x="54"/>
        <item x="40"/>
        <item x="124"/>
        <item x="66"/>
        <item x="184"/>
        <item x="76"/>
        <item x="110"/>
        <item x="28"/>
        <item x="181"/>
        <item x="12"/>
        <item x="15"/>
        <item x="44"/>
        <item x="144"/>
        <item x="35"/>
        <item x="123"/>
        <item x="99"/>
        <item x="37"/>
        <item x="125"/>
        <item x="142"/>
        <item x="167"/>
        <item x="78"/>
        <item x="129"/>
        <item x="86"/>
        <item x="5"/>
        <item x="60"/>
        <item x="152"/>
        <item x="20"/>
        <item x="74"/>
        <item x="33"/>
        <item x="106"/>
        <item x="174"/>
        <item x="145"/>
        <item x="19"/>
        <item x="137"/>
        <item x="113"/>
        <item x="30"/>
        <item x="22"/>
        <item x="107"/>
        <item x="69"/>
        <item x="93"/>
        <item x="63"/>
        <item x="11"/>
        <item x="158"/>
        <item x="8"/>
        <item x="146"/>
        <item x="3"/>
        <item x="73"/>
        <item x="101"/>
        <item x="4"/>
        <item x="61"/>
        <item x="175"/>
        <item x="165"/>
        <item x="115"/>
        <item x="135"/>
        <item x="153"/>
        <item x="71"/>
        <item x="162"/>
        <item x="133"/>
        <item x="0"/>
        <item x="41"/>
        <item x="166"/>
        <item x="139"/>
        <item x="91"/>
        <item x="2"/>
        <item x="79"/>
        <item x="46"/>
        <item x="59"/>
        <item x="127"/>
        <item x="157"/>
        <item x="148"/>
        <item x="87"/>
        <item x="39"/>
        <item x="149"/>
        <item x="172"/>
        <item x="161"/>
        <item x="14"/>
        <item x="138"/>
        <item x="24"/>
        <item x="116"/>
        <item t="default"/>
      </items>
    </pivotField>
    <pivotField axis="axisRow" showAll="0">
      <items count="5">
        <item x="2"/>
        <item x="3"/>
        <item x="1"/>
        <item x="0"/>
        <item t="default"/>
      </items>
    </pivotField>
    <pivotField numFmtId="165" showAll="0"/>
    <pivotField showAll="0"/>
    <pivotField showAll="0" defaultSubtotal="0"/>
    <pivotField showAll="0" defaultSubtotal="0"/>
  </pivotFields>
  <rowFields count="1">
    <field x="8"/>
  </rowFields>
  <rowItems count="5">
    <i>
      <x/>
    </i>
    <i>
      <x v="1"/>
    </i>
    <i>
      <x v="2"/>
    </i>
    <i>
      <x v="3"/>
    </i>
    <i t="grand">
      <x/>
    </i>
  </rowItems>
  <colItems count="1">
    <i/>
  </colItems>
  <dataFields count="1">
    <dataField name="Count of Order ID" fld="0" subtotal="count" baseField="0" baseItem="0"/>
  </dataFields>
  <chartFormats count="6">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8" count="1" selected="0">
            <x v="0"/>
          </reference>
        </references>
      </pivotArea>
    </chartFormat>
    <chartFormat chart="8" format="8">
      <pivotArea type="data" outline="0" fieldPosition="0">
        <references count="2">
          <reference field="4294967294" count="1" selected="0">
            <x v="0"/>
          </reference>
          <reference field="8" count="1" selected="0">
            <x v="1"/>
          </reference>
        </references>
      </pivotArea>
    </chartFormat>
    <chartFormat chart="8" format="9">
      <pivotArea type="data" outline="0" fieldPosition="0">
        <references count="2">
          <reference field="4294967294" count="1" selected="0">
            <x v="0"/>
          </reference>
          <reference field="8" count="1" selected="0">
            <x v="2"/>
          </reference>
        </references>
      </pivotArea>
    </chartFormat>
    <chartFormat chart="8"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326DF0-66A6-499B-BB80-5952FCA77FD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Cuisine Popularity">
  <location ref="B14:C21" firstHeaderRow="1" firstDataRow="1" firstDataCol="1"/>
  <pivotFields count="13">
    <pivotField dataField="1" showAll="0"/>
    <pivotField numFmtId="165" showAll="0">
      <items count="15">
        <item x="0"/>
        <item x="1"/>
        <item x="2"/>
        <item x="3"/>
        <item x="4"/>
        <item x="5"/>
        <item x="6"/>
        <item x="7"/>
        <item x="8"/>
        <item x="9"/>
        <item x="10"/>
        <item x="11"/>
        <item x="12"/>
        <item x="13"/>
        <item t="default"/>
      </items>
    </pivotField>
    <pivotField showAll="0"/>
    <pivotField axis="axisRow" showAll="0">
      <items count="7">
        <item x="2"/>
        <item x="5"/>
        <item x="1"/>
        <item x="0"/>
        <item x="3"/>
        <item x="4"/>
        <item t="default"/>
      </items>
    </pivotField>
    <pivotField showAll="0">
      <items count="7">
        <item x="2"/>
        <item x="5"/>
        <item x="4"/>
        <item x="1"/>
        <item x="0"/>
        <item x="3"/>
        <item t="default"/>
      </items>
    </pivotField>
    <pivotField numFmtId="165" showAll="0"/>
    <pivotField numFmtId="165" showAll="0"/>
    <pivotField numFmtId="165" showAll="0">
      <items count="186">
        <item x="88"/>
        <item x="169"/>
        <item x="111"/>
        <item x="49"/>
        <item x="10"/>
        <item x="57"/>
        <item x="89"/>
        <item x="67"/>
        <item x="179"/>
        <item x="43"/>
        <item x="45"/>
        <item x="68"/>
        <item x="103"/>
        <item x="13"/>
        <item x="98"/>
        <item x="102"/>
        <item x="25"/>
        <item x="130"/>
        <item x="100"/>
        <item x="81"/>
        <item x="6"/>
        <item x="21"/>
        <item x="178"/>
        <item x="53"/>
        <item x="171"/>
        <item x="183"/>
        <item x="34"/>
        <item x="70"/>
        <item x="147"/>
        <item x="58"/>
        <item x="50"/>
        <item x="156"/>
        <item x="177"/>
        <item x="173"/>
        <item x="122"/>
        <item x="109"/>
        <item x="83"/>
        <item x="77"/>
        <item x="96"/>
        <item x="48"/>
        <item x="65"/>
        <item x="132"/>
        <item x="9"/>
        <item x="182"/>
        <item x="16"/>
        <item x="95"/>
        <item x="55"/>
        <item x="18"/>
        <item x="121"/>
        <item x="26"/>
        <item x="134"/>
        <item x="47"/>
        <item x="7"/>
        <item x="75"/>
        <item x="23"/>
        <item x="164"/>
        <item x="62"/>
        <item x="180"/>
        <item x="131"/>
        <item x="94"/>
        <item x="108"/>
        <item x="72"/>
        <item x="97"/>
        <item x="170"/>
        <item x="84"/>
        <item x="118"/>
        <item x="143"/>
        <item x="85"/>
        <item x="52"/>
        <item x="136"/>
        <item x="90"/>
        <item x="29"/>
        <item x="163"/>
        <item x="114"/>
        <item x="141"/>
        <item x="92"/>
        <item x="32"/>
        <item x="140"/>
        <item x="151"/>
        <item x="150"/>
        <item x="27"/>
        <item x="128"/>
        <item x="31"/>
        <item x="38"/>
        <item x="160"/>
        <item x="17"/>
        <item x="112"/>
        <item x="36"/>
        <item x="159"/>
        <item x="51"/>
        <item x="42"/>
        <item x="176"/>
        <item x="126"/>
        <item x="155"/>
        <item x="117"/>
        <item x="82"/>
        <item x="119"/>
        <item x="154"/>
        <item x="80"/>
        <item x="56"/>
        <item x="105"/>
        <item x="168"/>
        <item x="120"/>
        <item x="1"/>
        <item x="64"/>
        <item x="104"/>
        <item x="54"/>
        <item x="40"/>
        <item x="124"/>
        <item x="66"/>
        <item x="184"/>
        <item x="76"/>
        <item x="110"/>
        <item x="28"/>
        <item x="181"/>
        <item x="12"/>
        <item x="15"/>
        <item x="44"/>
        <item x="144"/>
        <item x="35"/>
        <item x="123"/>
        <item x="99"/>
        <item x="37"/>
        <item x="125"/>
        <item x="142"/>
        <item x="167"/>
        <item x="78"/>
        <item x="129"/>
        <item x="86"/>
        <item x="5"/>
        <item x="60"/>
        <item x="152"/>
        <item x="20"/>
        <item x="74"/>
        <item x="33"/>
        <item x="106"/>
        <item x="174"/>
        <item x="145"/>
        <item x="19"/>
        <item x="137"/>
        <item x="113"/>
        <item x="30"/>
        <item x="22"/>
        <item x="107"/>
        <item x="69"/>
        <item x="93"/>
        <item x="63"/>
        <item x="11"/>
        <item x="158"/>
        <item x="8"/>
        <item x="146"/>
        <item x="3"/>
        <item x="73"/>
        <item x="101"/>
        <item x="4"/>
        <item x="61"/>
        <item x="175"/>
        <item x="165"/>
        <item x="115"/>
        <item x="135"/>
        <item x="153"/>
        <item x="71"/>
        <item x="162"/>
        <item x="133"/>
        <item x="0"/>
        <item x="41"/>
        <item x="166"/>
        <item x="139"/>
        <item x="91"/>
        <item x="2"/>
        <item x="79"/>
        <item x="46"/>
        <item x="59"/>
        <item x="127"/>
        <item x="157"/>
        <item x="148"/>
        <item x="87"/>
        <item x="39"/>
        <item x="149"/>
        <item x="172"/>
        <item x="161"/>
        <item x="14"/>
        <item x="138"/>
        <item x="24"/>
        <item x="116"/>
        <item t="default"/>
      </items>
    </pivotField>
    <pivotField showAll="0">
      <items count="5">
        <item x="2"/>
        <item x="3"/>
        <item x="1"/>
        <item x="0"/>
        <item t="default"/>
      </items>
    </pivotField>
    <pivotField numFmtId="165" showAll="0"/>
    <pivotField showAll="0"/>
    <pivotField showAll="0" defaultSubtotal="0"/>
    <pivotField showAll="0" defaultSubtotal="0"/>
  </pivotFields>
  <rowFields count="1">
    <field x="3"/>
  </rowFields>
  <rowItems count="7">
    <i>
      <x/>
    </i>
    <i>
      <x v="1"/>
    </i>
    <i>
      <x v="2"/>
    </i>
    <i>
      <x v="3"/>
    </i>
    <i>
      <x v="4"/>
    </i>
    <i>
      <x v="5"/>
    </i>
    <i t="grand">
      <x/>
    </i>
  </rowItems>
  <colItems count="1">
    <i/>
  </colItems>
  <dataFields count="1">
    <dataField name="Count of Order ID" fld="0" subtotal="count" baseField="0" baseItem="0"/>
  </dataFields>
  <chartFormats count="8">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0"/>
          </reference>
        </references>
      </pivotArea>
    </chartFormat>
    <chartFormat chart="7" format="4">
      <pivotArea type="data" outline="0" fieldPosition="0">
        <references count="2">
          <reference field="4294967294" count="1" selected="0">
            <x v="0"/>
          </reference>
          <reference field="3" count="1" selected="0">
            <x v="1"/>
          </reference>
        </references>
      </pivotArea>
    </chartFormat>
    <chartFormat chart="7" format="5">
      <pivotArea type="data" outline="0" fieldPosition="0">
        <references count="2">
          <reference field="4294967294" count="1" selected="0">
            <x v="0"/>
          </reference>
          <reference field="3" count="1" selected="0">
            <x v="2"/>
          </reference>
        </references>
      </pivotArea>
    </chartFormat>
    <chartFormat chart="7" format="6">
      <pivotArea type="data" outline="0" fieldPosition="0">
        <references count="2">
          <reference field="4294967294" count="1" selected="0">
            <x v="0"/>
          </reference>
          <reference field="3" count="1" selected="0">
            <x v="3"/>
          </reference>
        </references>
      </pivotArea>
    </chartFormat>
    <chartFormat chart="7" format="7">
      <pivotArea type="data" outline="0" fieldPosition="0">
        <references count="2">
          <reference field="4294967294" count="1" selected="0">
            <x v="0"/>
          </reference>
          <reference field="3" count="1" selected="0">
            <x v="4"/>
          </reference>
        </references>
      </pivotArea>
    </chartFormat>
    <chartFormat chart="7" format="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B23637-E2B0-4D99-BD64-9E7B40D5D08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5" rowHeaderCaption="sales turnover">
  <location ref="B6:C9" firstHeaderRow="1" firstDataRow="1" firstDataCol="1"/>
  <pivotFields count="13">
    <pivotField showAll="0"/>
    <pivotField axis="axisRow" numFmtId="165" showAll="0">
      <items count="15">
        <item h="1" x="0"/>
        <item h="1" x="1"/>
        <item x="2"/>
        <item x="3"/>
        <item x="4"/>
        <item h="1" x="5"/>
        <item h="1" x="6"/>
        <item x="7"/>
        <item h="1" x="8"/>
        <item h="1" x="9"/>
        <item h="1" x="10"/>
        <item x="11"/>
        <item h="1" x="12"/>
        <item x="13"/>
        <item t="default"/>
      </items>
    </pivotField>
    <pivotField showAll="0">
      <items count="9">
        <item x="0"/>
        <item h="1" x="7"/>
        <item x="4"/>
        <item x="1"/>
        <item x="2"/>
        <item x="3"/>
        <item x="6"/>
        <item x="5"/>
        <item t="default"/>
      </items>
    </pivotField>
    <pivotField showAll="0">
      <items count="7">
        <item x="2"/>
        <item h="1" x="5"/>
        <item h="1" x="1"/>
        <item h="1" x="0"/>
        <item h="1" x="3"/>
        <item x="4"/>
        <item t="default"/>
      </items>
    </pivotField>
    <pivotField showAll="0">
      <items count="7">
        <item h="1" x="2"/>
        <item h="1" x="5"/>
        <item x="4"/>
        <item h="1" x="1"/>
        <item h="1" x="0"/>
        <item h="1" x="3"/>
        <item t="default"/>
      </items>
    </pivotField>
    <pivotField numFmtId="165" showAll="0"/>
    <pivotField numFmtId="165" showAll="0"/>
    <pivotField dataField="1" numFmtId="165" showAll="0">
      <items count="186">
        <item x="88"/>
        <item x="169"/>
        <item x="111"/>
        <item x="49"/>
        <item x="10"/>
        <item x="57"/>
        <item x="89"/>
        <item x="67"/>
        <item x="179"/>
        <item x="43"/>
        <item x="45"/>
        <item x="68"/>
        <item x="103"/>
        <item x="13"/>
        <item x="98"/>
        <item x="102"/>
        <item x="25"/>
        <item x="130"/>
        <item x="100"/>
        <item x="81"/>
        <item x="6"/>
        <item x="21"/>
        <item x="178"/>
        <item x="53"/>
        <item x="171"/>
        <item x="183"/>
        <item x="34"/>
        <item x="70"/>
        <item x="147"/>
        <item x="58"/>
        <item x="50"/>
        <item x="156"/>
        <item x="177"/>
        <item x="173"/>
        <item x="122"/>
        <item x="109"/>
        <item x="83"/>
        <item x="77"/>
        <item x="96"/>
        <item x="48"/>
        <item x="65"/>
        <item x="132"/>
        <item x="9"/>
        <item x="182"/>
        <item x="16"/>
        <item x="95"/>
        <item x="55"/>
        <item x="18"/>
        <item x="121"/>
        <item x="26"/>
        <item x="134"/>
        <item x="47"/>
        <item x="7"/>
        <item x="75"/>
        <item x="23"/>
        <item x="164"/>
        <item x="62"/>
        <item x="180"/>
        <item x="131"/>
        <item x="94"/>
        <item x="108"/>
        <item x="72"/>
        <item x="97"/>
        <item x="170"/>
        <item x="84"/>
        <item x="118"/>
        <item x="143"/>
        <item x="85"/>
        <item x="52"/>
        <item x="136"/>
        <item x="90"/>
        <item x="29"/>
        <item x="163"/>
        <item x="114"/>
        <item x="141"/>
        <item x="92"/>
        <item x="32"/>
        <item x="140"/>
        <item x="151"/>
        <item x="150"/>
        <item x="27"/>
        <item x="128"/>
        <item x="31"/>
        <item x="38"/>
        <item x="160"/>
        <item x="17"/>
        <item x="112"/>
        <item x="36"/>
        <item x="159"/>
        <item x="51"/>
        <item x="42"/>
        <item x="176"/>
        <item x="126"/>
        <item x="155"/>
        <item x="117"/>
        <item x="82"/>
        <item x="119"/>
        <item x="154"/>
        <item x="80"/>
        <item x="56"/>
        <item x="105"/>
        <item x="168"/>
        <item x="120"/>
        <item x="1"/>
        <item x="64"/>
        <item x="104"/>
        <item x="54"/>
        <item x="40"/>
        <item x="124"/>
        <item x="66"/>
        <item x="184"/>
        <item x="76"/>
        <item x="110"/>
        <item x="28"/>
        <item x="181"/>
        <item x="12"/>
        <item x="15"/>
        <item x="44"/>
        <item x="144"/>
        <item x="35"/>
        <item x="123"/>
        <item x="99"/>
        <item x="37"/>
        <item x="125"/>
        <item x="142"/>
        <item x="167"/>
        <item x="78"/>
        <item x="129"/>
        <item x="86"/>
        <item x="5"/>
        <item x="60"/>
        <item x="152"/>
        <item x="20"/>
        <item x="74"/>
        <item x="33"/>
        <item x="106"/>
        <item x="174"/>
        <item x="145"/>
        <item x="19"/>
        <item x="137"/>
        <item x="113"/>
        <item x="30"/>
        <item x="22"/>
        <item x="107"/>
        <item x="69"/>
        <item x="93"/>
        <item x="63"/>
        <item x="11"/>
        <item x="158"/>
        <item x="8"/>
        <item x="146"/>
        <item x="3"/>
        <item x="73"/>
        <item x="101"/>
        <item x="4"/>
        <item x="61"/>
        <item x="175"/>
        <item x="165"/>
        <item x="115"/>
        <item x="135"/>
        <item x="153"/>
        <item x="71"/>
        <item x="162"/>
        <item x="133"/>
        <item x="0"/>
        <item x="41"/>
        <item x="166"/>
        <item x="139"/>
        <item x="91"/>
        <item x="2"/>
        <item x="79"/>
        <item x="46"/>
        <item x="59"/>
        <item x="127"/>
        <item x="157"/>
        <item x="148"/>
        <item x="87"/>
        <item x="39"/>
        <item x="149"/>
        <item x="172"/>
        <item x="161"/>
        <item x="14"/>
        <item x="138"/>
        <item x="24"/>
        <item x="116"/>
        <item t="default"/>
      </items>
    </pivotField>
    <pivotField showAll="0">
      <items count="5">
        <item x="2"/>
        <item x="3"/>
        <item h="1" x="1"/>
        <item x="0"/>
        <item t="default"/>
      </items>
    </pivotField>
    <pivotField numFmtId="165" showAll="0"/>
    <pivotField showAll="0"/>
    <pivotField showAll="0" defaultSubtotal="0"/>
    <pivotField showAll="0" defaultSubtotal="0"/>
  </pivotFields>
  <rowFields count="1">
    <field x="1"/>
  </rowFields>
  <rowItems count="3">
    <i>
      <x v="2"/>
    </i>
    <i>
      <x v="3"/>
    </i>
    <i t="grand">
      <x/>
    </i>
  </rowItems>
  <colItems count="1">
    <i/>
  </colItems>
  <dataFields count="1">
    <dataField name="Sum of Final Amount (₹)" fld="7" baseField="1" baseItem="1"/>
  </dataFields>
  <chartFormats count="4">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E98098-77CA-405F-BCF1-63B528EC5AA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elivered vs Cancelled Orders">
  <location ref="H17:I20" firstHeaderRow="1" firstDataRow="1" firstDataCol="1"/>
  <pivotFields count="13">
    <pivotField dataField="1" showAll="0"/>
    <pivotField numFmtId="165" showAll="0">
      <items count="15">
        <item x="0"/>
        <item x="1"/>
        <item x="2"/>
        <item x="3"/>
        <item x="4"/>
        <item x="5"/>
        <item x="6"/>
        <item x="7"/>
        <item x="8"/>
        <item x="9"/>
        <item x="10"/>
        <item x="11"/>
        <item x="12"/>
        <item x="13"/>
        <item t="default"/>
      </items>
    </pivotField>
    <pivotField showAll="0"/>
    <pivotField showAll="0"/>
    <pivotField showAll="0"/>
    <pivotField numFmtId="165" showAll="0"/>
    <pivotField numFmtId="165" showAll="0"/>
    <pivotField numFmtId="165" showAll="0">
      <items count="186">
        <item x="88"/>
        <item x="169"/>
        <item x="111"/>
        <item x="49"/>
        <item x="10"/>
        <item x="57"/>
        <item x="89"/>
        <item x="67"/>
        <item x="179"/>
        <item x="43"/>
        <item x="45"/>
        <item x="68"/>
        <item x="103"/>
        <item x="13"/>
        <item x="98"/>
        <item x="102"/>
        <item x="25"/>
        <item x="130"/>
        <item x="100"/>
        <item x="81"/>
        <item x="6"/>
        <item x="21"/>
        <item x="178"/>
        <item x="53"/>
        <item x="171"/>
        <item x="183"/>
        <item x="34"/>
        <item x="70"/>
        <item x="147"/>
        <item x="58"/>
        <item x="50"/>
        <item x="156"/>
        <item x="177"/>
        <item x="173"/>
        <item x="122"/>
        <item x="109"/>
        <item x="83"/>
        <item x="77"/>
        <item x="96"/>
        <item x="48"/>
        <item x="65"/>
        <item x="132"/>
        <item x="9"/>
        <item x="182"/>
        <item x="16"/>
        <item x="95"/>
        <item x="55"/>
        <item x="18"/>
        <item x="121"/>
        <item x="26"/>
        <item x="134"/>
        <item x="47"/>
        <item x="7"/>
        <item x="75"/>
        <item x="23"/>
        <item x="164"/>
        <item x="62"/>
        <item x="180"/>
        <item x="131"/>
        <item x="94"/>
        <item x="108"/>
        <item x="72"/>
        <item x="97"/>
        <item x="170"/>
        <item x="84"/>
        <item x="118"/>
        <item x="143"/>
        <item x="85"/>
        <item x="52"/>
        <item x="136"/>
        <item x="90"/>
        <item x="29"/>
        <item x="163"/>
        <item x="114"/>
        <item x="141"/>
        <item x="92"/>
        <item x="32"/>
        <item x="140"/>
        <item x="151"/>
        <item x="150"/>
        <item x="27"/>
        <item x="128"/>
        <item x="31"/>
        <item x="38"/>
        <item x="160"/>
        <item x="17"/>
        <item x="112"/>
        <item x="36"/>
        <item x="159"/>
        <item x="51"/>
        <item x="42"/>
        <item x="176"/>
        <item x="126"/>
        <item x="155"/>
        <item x="117"/>
        <item x="82"/>
        <item x="119"/>
        <item x="154"/>
        <item x="80"/>
        <item x="56"/>
        <item x="105"/>
        <item x="168"/>
        <item x="120"/>
        <item x="1"/>
        <item x="64"/>
        <item x="104"/>
        <item x="54"/>
        <item x="40"/>
        <item x="124"/>
        <item x="66"/>
        <item x="184"/>
        <item x="76"/>
        <item x="110"/>
        <item x="28"/>
        <item x="181"/>
        <item x="12"/>
        <item x="15"/>
        <item x="44"/>
        <item x="144"/>
        <item x="35"/>
        <item x="123"/>
        <item x="99"/>
        <item x="37"/>
        <item x="125"/>
        <item x="142"/>
        <item x="167"/>
        <item x="78"/>
        <item x="129"/>
        <item x="86"/>
        <item x="5"/>
        <item x="60"/>
        <item x="152"/>
        <item x="20"/>
        <item x="74"/>
        <item x="33"/>
        <item x="106"/>
        <item x="174"/>
        <item x="145"/>
        <item x="19"/>
        <item x="137"/>
        <item x="113"/>
        <item x="30"/>
        <item x="22"/>
        <item x="107"/>
        <item x="69"/>
        <item x="93"/>
        <item x="63"/>
        <item x="11"/>
        <item x="158"/>
        <item x="8"/>
        <item x="146"/>
        <item x="3"/>
        <item x="73"/>
        <item x="101"/>
        <item x="4"/>
        <item x="61"/>
        <item x="175"/>
        <item x="165"/>
        <item x="115"/>
        <item x="135"/>
        <item x="153"/>
        <item x="71"/>
        <item x="162"/>
        <item x="133"/>
        <item x="0"/>
        <item x="41"/>
        <item x="166"/>
        <item x="139"/>
        <item x="91"/>
        <item x="2"/>
        <item x="79"/>
        <item x="46"/>
        <item x="59"/>
        <item x="127"/>
        <item x="157"/>
        <item x="148"/>
        <item x="87"/>
        <item x="39"/>
        <item x="149"/>
        <item x="172"/>
        <item x="161"/>
        <item x="14"/>
        <item x="138"/>
        <item x="24"/>
        <item x="116"/>
        <item t="default"/>
      </items>
    </pivotField>
    <pivotField showAll="0">
      <items count="5">
        <item x="2"/>
        <item x="3"/>
        <item x="1"/>
        <item x="0"/>
        <item t="default"/>
      </items>
    </pivotField>
    <pivotField numFmtId="165" showAll="0"/>
    <pivotField axis="axisRow" showAll="0">
      <items count="3">
        <item x="0"/>
        <item x="1"/>
        <item t="default"/>
      </items>
    </pivotField>
    <pivotField showAll="0" defaultSubtotal="0"/>
    <pivotField showAll="0" defaultSubtotal="0"/>
  </pivotFields>
  <rowFields count="1">
    <field x="10"/>
  </rowFields>
  <rowItems count="3">
    <i>
      <x/>
    </i>
    <i>
      <x v="1"/>
    </i>
    <i t="grand">
      <x/>
    </i>
  </rowItems>
  <colItems count="1">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EE6437-B84D-469A-9D7A-193451D6302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Orders by Location">
  <location ref="E14:F21" firstHeaderRow="1" firstDataRow="1" firstDataCol="1"/>
  <pivotFields count="13">
    <pivotField dataField="1" showAll="0"/>
    <pivotField numFmtId="165" showAll="0">
      <items count="15">
        <item x="0"/>
        <item x="1"/>
        <item x="2"/>
        <item x="3"/>
        <item x="4"/>
        <item x="5"/>
        <item x="6"/>
        <item x="7"/>
        <item x="8"/>
        <item x="9"/>
        <item x="10"/>
        <item x="11"/>
        <item x="12"/>
        <item x="13"/>
        <item t="default"/>
      </items>
    </pivotField>
    <pivotField showAll="0"/>
    <pivotField showAll="0"/>
    <pivotField axis="axisRow" showAll="0">
      <items count="7">
        <item x="2"/>
        <item x="5"/>
        <item x="4"/>
        <item x="1"/>
        <item x="0"/>
        <item x="3"/>
        <item t="default"/>
      </items>
    </pivotField>
    <pivotField numFmtId="165" showAll="0"/>
    <pivotField numFmtId="165" showAll="0"/>
    <pivotField numFmtId="165" showAll="0">
      <items count="186">
        <item x="88"/>
        <item x="169"/>
        <item x="111"/>
        <item x="49"/>
        <item x="10"/>
        <item x="57"/>
        <item x="89"/>
        <item x="67"/>
        <item x="179"/>
        <item x="43"/>
        <item x="45"/>
        <item x="68"/>
        <item x="103"/>
        <item x="13"/>
        <item x="98"/>
        <item x="102"/>
        <item x="25"/>
        <item x="130"/>
        <item x="100"/>
        <item x="81"/>
        <item x="6"/>
        <item x="21"/>
        <item x="178"/>
        <item x="53"/>
        <item x="171"/>
        <item x="183"/>
        <item x="34"/>
        <item x="70"/>
        <item x="147"/>
        <item x="58"/>
        <item x="50"/>
        <item x="156"/>
        <item x="177"/>
        <item x="173"/>
        <item x="122"/>
        <item x="109"/>
        <item x="83"/>
        <item x="77"/>
        <item x="96"/>
        <item x="48"/>
        <item x="65"/>
        <item x="132"/>
        <item x="9"/>
        <item x="182"/>
        <item x="16"/>
        <item x="95"/>
        <item x="55"/>
        <item x="18"/>
        <item x="121"/>
        <item x="26"/>
        <item x="134"/>
        <item x="47"/>
        <item x="7"/>
        <item x="75"/>
        <item x="23"/>
        <item x="164"/>
        <item x="62"/>
        <item x="180"/>
        <item x="131"/>
        <item x="94"/>
        <item x="108"/>
        <item x="72"/>
        <item x="97"/>
        <item x="170"/>
        <item x="84"/>
        <item x="118"/>
        <item x="143"/>
        <item x="85"/>
        <item x="52"/>
        <item x="136"/>
        <item x="90"/>
        <item x="29"/>
        <item x="163"/>
        <item x="114"/>
        <item x="141"/>
        <item x="92"/>
        <item x="32"/>
        <item x="140"/>
        <item x="151"/>
        <item x="150"/>
        <item x="27"/>
        <item x="128"/>
        <item x="31"/>
        <item x="38"/>
        <item x="160"/>
        <item x="17"/>
        <item x="112"/>
        <item x="36"/>
        <item x="159"/>
        <item x="51"/>
        <item x="42"/>
        <item x="176"/>
        <item x="126"/>
        <item x="155"/>
        <item x="117"/>
        <item x="82"/>
        <item x="119"/>
        <item x="154"/>
        <item x="80"/>
        <item x="56"/>
        <item x="105"/>
        <item x="168"/>
        <item x="120"/>
        <item x="1"/>
        <item x="64"/>
        <item x="104"/>
        <item x="54"/>
        <item x="40"/>
        <item x="124"/>
        <item x="66"/>
        <item x="184"/>
        <item x="76"/>
        <item x="110"/>
        <item x="28"/>
        <item x="181"/>
        <item x="12"/>
        <item x="15"/>
        <item x="44"/>
        <item x="144"/>
        <item x="35"/>
        <item x="123"/>
        <item x="99"/>
        <item x="37"/>
        <item x="125"/>
        <item x="142"/>
        <item x="167"/>
        <item x="78"/>
        <item x="129"/>
        <item x="86"/>
        <item x="5"/>
        <item x="60"/>
        <item x="152"/>
        <item x="20"/>
        <item x="74"/>
        <item x="33"/>
        <item x="106"/>
        <item x="174"/>
        <item x="145"/>
        <item x="19"/>
        <item x="137"/>
        <item x="113"/>
        <item x="30"/>
        <item x="22"/>
        <item x="107"/>
        <item x="69"/>
        <item x="93"/>
        <item x="63"/>
        <item x="11"/>
        <item x="158"/>
        <item x="8"/>
        <item x="146"/>
        <item x="3"/>
        <item x="73"/>
        <item x="101"/>
        <item x="4"/>
        <item x="61"/>
        <item x="175"/>
        <item x="165"/>
        <item x="115"/>
        <item x="135"/>
        <item x="153"/>
        <item x="71"/>
        <item x="162"/>
        <item x="133"/>
        <item x="0"/>
        <item x="41"/>
        <item x="166"/>
        <item x="139"/>
        <item x="91"/>
        <item x="2"/>
        <item x="79"/>
        <item x="46"/>
        <item x="59"/>
        <item x="127"/>
        <item x="157"/>
        <item x="148"/>
        <item x="87"/>
        <item x="39"/>
        <item x="149"/>
        <item x="172"/>
        <item x="161"/>
        <item x="14"/>
        <item x="138"/>
        <item x="24"/>
        <item x="116"/>
        <item t="default"/>
      </items>
    </pivotField>
    <pivotField showAll="0">
      <items count="5">
        <item x="2"/>
        <item x="3"/>
        <item x="1"/>
        <item x="0"/>
        <item t="default"/>
      </items>
    </pivotField>
    <pivotField numFmtId="165" showAll="0"/>
    <pivotField showAll="0"/>
    <pivotField showAll="0" defaultSubtotal="0"/>
    <pivotField showAll="0" defaultSubtotal="0"/>
  </pivotFields>
  <rowFields count="1">
    <field x="4"/>
  </rowFields>
  <rowItems count="7">
    <i>
      <x/>
    </i>
    <i>
      <x v="1"/>
    </i>
    <i>
      <x v="2"/>
    </i>
    <i>
      <x v="3"/>
    </i>
    <i>
      <x v="4"/>
    </i>
    <i>
      <x v="5"/>
    </i>
    <i t="grand">
      <x/>
    </i>
  </rowItems>
  <colItems count="1">
    <i/>
  </colItems>
  <dataFields count="1">
    <dataField name="Count of Order ID" fld="0"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B178D6-CA9C-4C82-8583-99AEFA9906F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Top Restaurants by Sales">
  <location ref="H6:I12" firstHeaderRow="1" firstDataRow="1" firstDataCol="1"/>
  <pivotFields count="13">
    <pivotField showAll="0"/>
    <pivotField numFmtId="165" showAll="0">
      <items count="15">
        <item x="0"/>
        <item x="1"/>
        <item x="2"/>
        <item x="3"/>
        <item x="4"/>
        <item x="5"/>
        <item x="6"/>
        <item x="7"/>
        <item x="8"/>
        <item x="9"/>
        <item x="10"/>
        <item x="11"/>
        <item x="12"/>
        <item x="13"/>
        <item t="default"/>
      </items>
    </pivotField>
    <pivotField axis="axisRow" showAll="0" sortType="descending">
      <items count="9">
        <item x="5"/>
        <item x="6"/>
        <item x="3"/>
        <item x="2"/>
        <item x="1"/>
        <item h="1" x="4"/>
        <item h="1" x="7"/>
        <item h="1" x="0"/>
        <item t="default"/>
      </items>
    </pivotField>
    <pivotField showAll="0"/>
    <pivotField showAll="0"/>
    <pivotField numFmtId="165" showAll="0"/>
    <pivotField numFmtId="165" showAll="0"/>
    <pivotField dataField="1" numFmtId="165" showAll="0">
      <items count="186">
        <item x="88"/>
        <item x="169"/>
        <item x="111"/>
        <item x="49"/>
        <item x="10"/>
        <item x="57"/>
        <item x="89"/>
        <item x="67"/>
        <item x="179"/>
        <item x="43"/>
        <item x="45"/>
        <item x="68"/>
        <item x="103"/>
        <item x="13"/>
        <item x="98"/>
        <item x="102"/>
        <item x="25"/>
        <item x="130"/>
        <item x="100"/>
        <item x="81"/>
        <item x="6"/>
        <item x="21"/>
        <item x="178"/>
        <item x="53"/>
        <item x="171"/>
        <item x="183"/>
        <item x="34"/>
        <item x="70"/>
        <item x="147"/>
        <item x="58"/>
        <item x="50"/>
        <item x="156"/>
        <item x="177"/>
        <item x="173"/>
        <item x="122"/>
        <item x="109"/>
        <item x="83"/>
        <item x="77"/>
        <item x="96"/>
        <item x="48"/>
        <item x="65"/>
        <item x="132"/>
        <item x="9"/>
        <item x="182"/>
        <item x="16"/>
        <item x="95"/>
        <item x="55"/>
        <item x="18"/>
        <item x="121"/>
        <item x="26"/>
        <item x="134"/>
        <item x="47"/>
        <item x="7"/>
        <item x="75"/>
        <item x="23"/>
        <item x="164"/>
        <item x="62"/>
        <item x="180"/>
        <item x="131"/>
        <item x="94"/>
        <item x="108"/>
        <item x="72"/>
        <item x="97"/>
        <item x="170"/>
        <item x="84"/>
        <item x="118"/>
        <item x="143"/>
        <item x="85"/>
        <item x="52"/>
        <item x="136"/>
        <item x="90"/>
        <item x="29"/>
        <item x="163"/>
        <item x="114"/>
        <item x="141"/>
        <item x="92"/>
        <item x="32"/>
        <item x="140"/>
        <item x="151"/>
        <item x="150"/>
        <item x="27"/>
        <item x="128"/>
        <item x="31"/>
        <item x="38"/>
        <item x="160"/>
        <item x="17"/>
        <item x="112"/>
        <item x="36"/>
        <item x="159"/>
        <item x="51"/>
        <item x="42"/>
        <item x="176"/>
        <item x="126"/>
        <item x="155"/>
        <item x="117"/>
        <item x="82"/>
        <item x="119"/>
        <item x="154"/>
        <item x="80"/>
        <item x="56"/>
        <item x="105"/>
        <item x="168"/>
        <item x="120"/>
        <item x="1"/>
        <item x="64"/>
        <item x="104"/>
        <item x="54"/>
        <item x="40"/>
        <item x="124"/>
        <item x="66"/>
        <item x="184"/>
        <item x="76"/>
        <item x="110"/>
        <item x="28"/>
        <item x="181"/>
        <item x="12"/>
        <item x="15"/>
        <item x="44"/>
        <item x="144"/>
        <item x="35"/>
        <item x="123"/>
        <item x="99"/>
        <item x="37"/>
        <item x="125"/>
        <item x="142"/>
        <item x="167"/>
        <item x="78"/>
        <item x="129"/>
        <item x="86"/>
        <item x="5"/>
        <item x="60"/>
        <item x="152"/>
        <item x="20"/>
        <item x="74"/>
        <item x="33"/>
        <item x="106"/>
        <item x="174"/>
        <item x="145"/>
        <item x="19"/>
        <item x="137"/>
        <item x="113"/>
        <item x="30"/>
        <item x="22"/>
        <item x="107"/>
        <item x="69"/>
        <item x="93"/>
        <item x="63"/>
        <item x="11"/>
        <item x="158"/>
        <item x="8"/>
        <item x="146"/>
        <item x="3"/>
        <item x="73"/>
        <item x="101"/>
        <item x="4"/>
        <item x="61"/>
        <item x="175"/>
        <item x="165"/>
        <item x="115"/>
        <item x="135"/>
        <item x="153"/>
        <item x="71"/>
        <item x="162"/>
        <item x="133"/>
        <item x="0"/>
        <item x="41"/>
        <item x="166"/>
        <item x="139"/>
        <item x="91"/>
        <item x="2"/>
        <item x="79"/>
        <item x="46"/>
        <item x="59"/>
        <item x="127"/>
        <item x="157"/>
        <item x="148"/>
        <item x="87"/>
        <item x="39"/>
        <item x="149"/>
        <item x="172"/>
        <item x="161"/>
        <item x="14"/>
        <item x="138"/>
        <item x="24"/>
        <item x="116"/>
        <item t="default"/>
      </items>
    </pivotField>
    <pivotField showAll="0">
      <items count="5">
        <item x="2"/>
        <item x="3"/>
        <item x="1"/>
        <item x="0"/>
        <item t="default"/>
      </items>
    </pivotField>
    <pivotField numFmtId="165" showAll="0"/>
    <pivotField showAll="0"/>
    <pivotField showAll="0" defaultSubtotal="0"/>
    <pivotField showAll="0" defaultSubtotal="0"/>
  </pivotFields>
  <rowFields count="1">
    <field x="2"/>
  </rowFields>
  <rowItems count="6">
    <i>
      <x/>
    </i>
    <i>
      <x v="1"/>
    </i>
    <i>
      <x v="2"/>
    </i>
    <i>
      <x v="3"/>
    </i>
    <i>
      <x v="4"/>
    </i>
    <i t="grand">
      <x/>
    </i>
  </rowItems>
  <colItems count="1">
    <i/>
  </colItems>
  <dataFields count="1">
    <dataField name="Sum of Final Amount (₹)" fld="7" baseField="2"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E159762-DA27-42A6-939D-984B6DD34810}" sourceName="Order Date">
  <pivotTables>
    <pivotTable tabId="8" name="PivotTable1"/>
  </pivotTables>
  <data>
    <tabular pivotCacheId="1063062399">
      <items count="14">
        <i x="1"/>
        <i x="2" s="1"/>
        <i x="3" s="1"/>
        <i x="4" s="1" nd="1"/>
        <i x="5" nd="1"/>
        <i x="6" nd="1"/>
        <i x="7" s="1" nd="1"/>
        <i x="8" nd="1"/>
        <i x="9" nd="1"/>
        <i x="10" nd="1"/>
        <i x="11" s="1" nd="1"/>
        <i x="12" nd="1"/>
        <i x="0"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17CCC0FA-ECCB-4ACD-A6E4-747E6F803075}" sourceName="Restaurant Name">
  <pivotTables>
    <pivotTable tabId="8" name="PivotTable1"/>
  </pivotTables>
  <data>
    <tabular pivotCacheId="1063062399">
      <items count="8">
        <i x="0" s="1"/>
        <i x="7"/>
        <i x="4" s="1"/>
        <i x="3" s="1"/>
        <i x="5" s="1"/>
        <i x="1" s="1" nd="1"/>
        <i x="2"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_Type" xr10:uid="{2FE901BE-6E13-4592-A577-BF1801A91C2A}" sourceName="Cuisine Type">
  <pivotTables>
    <pivotTable tabId="8" name="PivotTable1"/>
  </pivotTables>
  <data>
    <tabular pivotCacheId="1063062399">
      <items count="6">
        <i x="5"/>
        <i x="1"/>
        <i x="0"/>
        <i x="3"/>
        <i x="4"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B4F3780D-9B39-4650-99C9-F9F81D226160}" sourceName="Customer Location">
  <pivotTables>
    <pivotTable tabId="8" name="PivotTable1"/>
  </pivotTables>
  <data>
    <tabular pivotCacheId="1063062399">
      <items count="6">
        <i x="2"/>
        <i x="5"/>
        <i x="4" s="1"/>
        <i x="1"/>
        <i x="0"/>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EF647D5-7F45-47DA-9A3F-7C5CBE8E6EDC}" sourceName="Payment Method">
  <pivotTables>
    <pivotTable tabId="8" name="PivotTable1"/>
  </pivotTables>
  <data>
    <tabular pivotCacheId="1063062399">
      <items count="4">
        <i x="2" s="1"/>
        <i x="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ECF1C9A1-A9BB-4AF5-A058-1D49E4C253BD}" cache="Slicer_Order_Date" caption="Order Date" startItem="8" style="SlicerStyleLight2 2" rowHeight="234950"/>
  <slicer name="Restaurant Name" xr10:uid="{85EE5083-5F75-4AB8-B2E2-7690E69B0E54}" cache="Slicer_Restaurant_Name" caption="Restaurant Name" style="SlicerStyleLight2 2" rowHeight="234950"/>
  <slicer name="Cuisine Type" xr10:uid="{B97BB583-2304-4B59-971D-7CAF8F768FBF}" cache="Slicer_Cuisine_Type" caption="Cuisine Type" style="SlicerStyleLight2 2" rowHeight="234950"/>
  <slicer name="Customer Location" xr10:uid="{FE26796B-9AC6-4E9A-94D1-16D97C223F96}" cache="Slicer_Customer_Location" caption="Customer Location" style="SlicerStyleLight2 2" rowHeight="234950"/>
  <slicer name="Payment Method" xr10:uid="{31BA36FD-8124-4B7F-AFCE-FDB3DC594D67}" cache="Slicer_Payment_Method" caption="Payment Method" style="SlicerStyleLight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DCCDA4-1FF6-4D20-88A2-0BD896FCA0C9}" name="Orders­_data" displayName="Orders­_data" ref="A1:K201" totalsRowShown="0" headerRowDxfId="3" headerRowBorderDxfId="2" tableBorderDxfId="1">
  <autoFilter ref="A1:K201" xr:uid="{13DCCDA4-1FF6-4D20-88A2-0BD896FCA0C9}"/>
  <tableColumns count="11">
    <tableColumn id="1" xr3:uid="{141B4E62-DB4B-41DA-A3AB-01934DC373F1}" name="Order ID"/>
    <tableColumn id="2" xr3:uid="{6C14738D-63F3-4838-BD6A-A2513C8738DE}" name="Order Date" dataDxfId="0"/>
    <tableColumn id="3" xr3:uid="{0651FF27-CD06-4EDD-BF91-FAE1BC313732}" name="Restaurant Name"/>
    <tableColumn id="4" xr3:uid="{0302C5AB-E2B5-4E08-8DDE-F5CD1F3A1A0B}" name="Cuisine Type"/>
    <tableColumn id="5" xr3:uid="{B972E8CE-B52D-4A63-ABC4-D3907A84CE93}" name="Customer Location"/>
    <tableColumn id="6" xr3:uid="{E854D385-DAA7-4A7C-B7C5-4929848C23D4}" name="Order Value (₹)"/>
    <tableColumn id="7" xr3:uid="{5005E485-A47C-4CF3-B2B0-D65388EF4034}" name="Discount (₹)"/>
    <tableColumn id="8" xr3:uid="{633CF3F7-7F8C-4E70-89D5-9FA56EB347B6}" name="Final Amount (₹)"/>
    <tableColumn id="9" xr3:uid="{8AA4B06C-2398-4B90-B0D5-E725703A1DA5}" name="Payment Method"/>
    <tableColumn id="10" xr3:uid="{6EE55EF6-918D-4BDF-B258-EBAFD300F386}" name="Delivery Time (Minutes)"/>
    <tableColumn id="11" xr3:uid="{611CE622-989E-4E0B-AE58-44789D1E1EF6}" name="Order Status"/>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70583-43BB-4721-A849-C54D3394C791}">
  <dimension ref="A1"/>
  <sheetViews>
    <sheetView workbookViewId="0">
      <selection activeCell="A4" sqref="A3:A4"/>
    </sheetView>
  </sheetViews>
  <sheetFormatPr defaultRowHeight="14.4" x14ac:dyDescent="0.3"/>
  <cols>
    <col min="1" max="1" width="11.218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A434B-F054-4F73-9EC7-201D12574385}">
  <dimension ref="A1"/>
  <sheetViews>
    <sheetView tabSelected="1" zoomScale="59" zoomScaleNormal="70" workbookViewId="0">
      <selection activeCell="R46" sqref="R46"/>
    </sheetView>
  </sheetViews>
  <sheetFormatPr defaultRowHeight="14.4" x14ac:dyDescent="0.3"/>
  <cols>
    <col min="23" max="23" width="20.77734375" bestFit="1" customWidth="1"/>
    <col min="24" max="24" width="20.5546875" bestFit="1"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zoomScale="64" workbookViewId="0">
      <selection activeCell="N25" sqref="N25"/>
    </sheetView>
  </sheetViews>
  <sheetFormatPr defaultRowHeight="14.4" x14ac:dyDescent="0.3"/>
  <cols>
    <col min="1" max="1" width="9.88671875" customWidth="1"/>
    <col min="2" max="2" width="18.109375" bestFit="1" customWidth="1"/>
    <col min="3" max="3" width="17.44140625" customWidth="1"/>
    <col min="4" max="4" width="13.44140625" customWidth="1"/>
    <col min="5" max="5" width="18.6640625" customWidth="1"/>
    <col min="6" max="6" width="15.6640625" customWidth="1"/>
    <col min="7" max="7" width="13" customWidth="1"/>
    <col min="8" max="8" width="16.88671875" customWidth="1"/>
    <col min="9" max="9" width="17.6640625" customWidth="1"/>
    <col min="10" max="10" width="22.88671875" customWidth="1"/>
    <col min="11" max="11" width="13.33203125" customWidth="1"/>
    <col min="12" max="12" width="8.33203125" customWidth="1"/>
    <col min="13" max="13" width="22" bestFit="1" customWidth="1"/>
    <col min="14" max="14" width="29.88671875" customWidth="1"/>
  </cols>
  <sheetData>
    <row r="1" spans="1:14" x14ac:dyDescent="0.3">
      <c r="A1" s="5" t="s">
        <v>0</v>
      </c>
      <c r="B1" s="5" t="s">
        <v>1</v>
      </c>
      <c r="C1" s="5" t="s">
        <v>2</v>
      </c>
      <c r="D1" s="5" t="s">
        <v>3</v>
      </c>
      <c r="E1" s="5" t="s">
        <v>4</v>
      </c>
      <c r="F1" s="5" t="s">
        <v>5</v>
      </c>
      <c r="G1" s="5" t="s">
        <v>6</v>
      </c>
      <c r="H1" s="5" t="s">
        <v>7</v>
      </c>
      <c r="I1" s="5" t="s">
        <v>8</v>
      </c>
      <c r="J1" s="5" t="s">
        <v>9</v>
      </c>
      <c r="K1" s="5" t="s">
        <v>10</v>
      </c>
    </row>
    <row r="2" spans="1:14" ht="15.6" x14ac:dyDescent="0.3">
      <c r="A2" t="s">
        <v>11</v>
      </c>
      <c r="B2" s="4">
        <v>44927</v>
      </c>
      <c r="C2" t="s">
        <v>12</v>
      </c>
      <c r="D2" t="s">
        <v>13</v>
      </c>
      <c r="E2" t="s">
        <v>14</v>
      </c>
      <c r="F2">
        <v>1276</v>
      </c>
      <c r="G2">
        <v>97</v>
      </c>
      <c r="H2">
        <v>1179</v>
      </c>
      <c r="I2" t="s">
        <v>15</v>
      </c>
      <c r="J2">
        <v>30</v>
      </c>
      <c r="K2" t="s">
        <v>16</v>
      </c>
      <c r="M2" s="16" t="s">
        <v>242</v>
      </c>
      <c r="N2" s="16"/>
    </row>
    <row r="3" spans="1:14" ht="15.6" x14ac:dyDescent="0.3">
      <c r="A3" t="s">
        <v>17</v>
      </c>
      <c r="B3" s="4">
        <v>44927.447236180902</v>
      </c>
      <c r="C3" t="s">
        <v>18</v>
      </c>
      <c r="D3" t="s">
        <v>19</v>
      </c>
      <c r="E3" t="s">
        <v>20</v>
      </c>
      <c r="F3">
        <v>1010</v>
      </c>
      <c r="G3">
        <v>197</v>
      </c>
      <c r="H3">
        <v>813</v>
      </c>
      <c r="I3" t="s">
        <v>15</v>
      </c>
      <c r="J3">
        <v>40</v>
      </c>
      <c r="K3" t="s">
        <v>21</v>
      </c>
      <c r="M3" s="6" t="s">
        <v>241</v>
      </c>
      <c r="N3" s="7">
        <f>SUM(Orders­_data[Final Amount (₹)])</f>
        <v>141181</v>
      </c>
    </row>
    <row r="4" spans="1:14" x14ac:dyDescent="0.3">
      <c r="A4" t="s">
        <v>22</v>
      </c>
      <c r="B4" s="4">
        <v>44927.894472361797</v>
      </c>
      <c r="C4" t="s">
        <v>23</v>
      </c>
      <c r="D4" t="s">
        <v>19</v>
      </c>
      <c r="E4" t="s">
        <v>20</v>
      </c>
      <c r="F4">
        <v>1444</v>
      </c>
      <c r="G4">
        <v>239</v>
      </c>
      <c r="H4">
        <v>1205</v>
      </c>
      <c r="I4" t="s">
        <v>24</v>
      </c>
      <c r="J4">
        <v>40</v>
      </c>
      <c r="K4" t="s">
        <v>16</v>
      </c>
    </row>
    <row r="5" spans="1:14" ht="15.6" x14ac:dyDescent="0.3">
      <c r="A5" t="s">
        <v>25</v>
      </c>
      <c r="B5" s="4">
        <v>44928.341708542714</v>
      </c>
      <c r="C5" t="s">
        <v>26</v>
      </c>
      <c r="D5" t="s">
        <v>27</v>
      </c>
      <c r="E5" t="s">
        <v>28</v>
      </c>
      <c r="F5">
        <v>1280</v>
      </c>
      <c r="G5">
        <v>143</v>
      </c>
      <c r="H5">
        <v>1137</v>
      </c>
      <c r="I5" t="s">
        <v>29</v>
      </c>
      <c r="J5">
        <v>62</v>
      </c>
      <c r="K5" t="s">
        <v>16</v>
      </c>
      <c r="M5" s="16" t="s">
        <v>243</v>
      </c>
      <c r="N5" s="16"/>
    </row>
    <row r="6" spans="1:14" ht="15.6" x14ac:dyDescent="0.3">
      <c r="A6" t="s">
        <v>30</v>
      </c>
      <c r="B6" s="4">
        <v>44928.788944723608</v>
      </c>
      <c r="C6" t="s">
        <v>12</v>
      </c>
      <c r="D6" t="s">
        <v>27</v>
      </c>
      <c r="E6" t="s">
        <v>31</v>
      </c>
      <c r="F6">
        <v>1245</v>
      </c>
      <c r="G6">
        <v>96</v>
      </c>
      <c r="H6">
        <v>1149</v>
      </c>
      <c r="I6" t="s">
        <v>15</v>
      </c>
      <c r="J6">
        <v>35</v>
      </c>
      <c r="K6" t="s">
        <v>16</v>
      </c>
      <c r="M6" s="6" t="s">
        <v>244</v>
      </c>
      <c r="N6" s="7">
        <f>COUNTA(Orders­_data[Order ID])</f>
        <v>200</v>
      </c>
    </row>
    <row r="7" spans="1:14" x14ac:dyDescent="0.3">
      <c r="A7" t="s">
        <v>32</v>
      </c>
      <c r="B7" s="4">
        <v>44929.236180904511</v>
      </c>
      <c r="C7" t="s">
        <v>12</v>
      </c>
      <c r="D7" t="s">
        <v>27</v>
      </c>
      <c r="E7" t="s">
        <v>20</v>
      </c>
      <c r="F7">
        <v>1194</v>
      </c>
      <c r="G7">
        <v>200</v>
      </c>
      <c r="H7">
        <v>994</v>
      </c>
      <c r="I7" t="s">
        <v>15</v>
      </c>
      <c r="J7">
        <v>53</v>
      </c>
      <c r="K7" t="s">
        <v>16</v>
      </c>
    </row>
    <row r="8" spans="1:14" ht="15.6" customHeight="1" x14ac:dyDescent="0.3">
      <c r="A8" t="s">
        <v>33</v>
      </c>
      <c r="B8" s="4">
        <v>44929.68341708542</v>
      </c>
      <c r="C8" t="s">
        <v>34</v>
      </c>
      <c r="D8" t="s">
        <v>19</v>
      </c>
      <c r="E8" t="s">
        <v>35</v>
      </c>
      <c r="F8">
        <v>271</v>
      </c>
      <c r="G8">
        <v>123</v>
      </c>
      <c r="H8">
        <v>148</v>
      </c>
      <c r="I8" t="s">
        <v>24</v>
      </c>
      <c r="J8">
        <v>50</v>
      </c>
      <c r="K8" t="s">
        <v>16</v>
      </c>
      <c r="M8" s="16" t="s">
        <v>247</v>
      </c>
      <c r="N8" s="16"/>
    </row>
    <row r="9" spans="1:14" ht="15.6" x14ac:dyDescent="0.3">
      <c r="A9" t="s">
        <v>36</v>
      </c>
      <c r="B9" s="4">
        <v>44930.130653266329</v>
      </c>
      <c r="C9" t="s">
        <v>18</v>
      </c>
      <c r="D9" t="s">
        <v>27</v>
      </c>
      <c r="E9" t="s">
        <v>14</v>
      </c>
      <c r="F9">
        <v>616</v>
      </c>
      <c r="G9">
        <v>186</v>
      </c>
      <c r="H9">
        <v>430</v>
      </c>
      <c r="I9" t="s">
        <v>15</v>
      </c>
      <c r="J9">
        <v>47</v>
      </c>
      <c r="K9" t="s">
        <v>16</v>
      </c>
      <c r="M9" s="6" t="s">
        <v>246</v>
      </c>
      <c r="N9" s="7">
        <f>AVERAGE(Orders­_data[Final Amount (₹)])</f>
        <v>705.90499999999997</v>
      </c>
    </row>
    <row r="10" spans="1:14" x14ac:dyDescent="0.3">
      <c r="A10" t="s">
        <v>37</v>
      </c>
      <c r="B10" s="4">
        <v>44930.577889447231</v>
      </c>
      <c r="C10" t="s">
        <v>38</v>
      </c>
      <c r="D10" t="s">
        <v>13</v>
      </c>
      <c r="E10" t="s">
        <v>14</v>
      </c>
      <c r="F10">
        <v>1388</v>
      </c>
      <c r="G10">
        <v>258</v>
      </c>
      <c r="H10">
        <v>1130</v>
      </c>
      <c r="I10" t="s">
        <v>15</v>
      </c>
      <c r="J10">
        <v>44</v>
      </c>
      <c r="K10" t="s">
        <v>21</v>
      </c>
    </row>
    <row r="11" spans="1:14" ht="15.6" customHeight="1" x14ac:dyDescent="0.3">
      <c r="A11" t="s">
        <v>39</v>
      </c>
      <c r="B11" s="4">
        <v>44931.025125628134</v>
      </c>
      <c r="C11" t="s">
        <v>18</v>
      </c>
      <c r="D11" t="s">
        <v>19</v>
      </c>
      <c r="E11" t="s">
        <v>28</v>
      </c>
      <c r="F11">
        <v>480</v>
      </c>
      <c r="G11">
        <v>147</v>
      </c>
      <c r="H11">
        <v>333</v>
      </c>
      <c r="I11" t="s">
        <v>24</v>
      </c>
      <c r="J11">
        <v>51</v>
      </c>
      <c r="K11" t="s">
        <v>21</v>
      </c>
      <c r="M11" s="16" t="s">
        <v>248</v>
      </c>
      <c r="N11" s="16"/>
    </row>
    <row r="12" spans="1:14" ht="15.6" x14ac:dyDescent="0.3">
      <c r="A12" t="s">
        <v>40</v>
      </c>
      <c r="B12" s="4">
        <v>44931.472361809043</v>
      </c>
      <c r="C12" t="s">
        <v>26</v>
      </c>
      <c r="D12" t="s">
        <v>27</v>
      </c>
      <c r="E12" t="s">
        <v>14</v>
      </c>
      <c r="F12">
        <v>237</v>
      </c>
      <c r="G12">
        <v>251</v>
      </c>
      <c r="H12">
        <v>-14</v>
      </c>
      <c r="I12" t="s">
        <v>41</v>
      </c>
      <c r="J12">
        <v>37</v>
      </c>
      <c r="K12" t="s">
        <v>21</v>
      </c>
      <c r="M12" s="6" t="s">
        <v>245</v>
      </c>
      <c r="N12" s="7">
        <f>AVERAGE(Orders­_data[Delivery Time (Minutes)])</f>
        <v>44.744999999999997</v>
      </c>
    </row>
    <row r="13" spans="1:14" x14ac:dyDescent="0.3">
      <c r="A13" t="s">
        <v>42</v>
      </c>
      <c r="B13" s="4">
        <v>44931.919597989952</v>
      </c>
      <c r="C13" t="s">
        <v>43</v>
      </c>
      <c r="D13" t="s">
        <v>13</v>
      </c>
      <c r="E13" t="s">
        <v>14</v>
      </c>
      <c r="F13">
        <v>1273</v>
      </c>
      <c r="G13">
        <v>146</v>
      </c>
      <c r="H13">
        <v>1127</v>
      </c>
      <c r="I13" t="s">
        <v>41</v>
      </c>
      <c r="J13">
        <v>72</v>
      </c>
      <c r="K13" t="s">
        <v>21</v>
      </c>
    </row>
    <row r="14" spans="1:14" x14ac:dyDescent="0.3">
      <c r="A14" t="s">
        <v>44</v>
      </c>
      <c r="B14" s="4">
        <v>44932.366834170847</v>
      </c>
      <c r="C14" t="s">
        <v>18</v>
      </c>
      <c r="D14" t="s">
        <v>27</v>
      </c>
      <c r="E14" t="s">
        <v>31</v>
      </c>
      <c r="F14">
        <v>1021</v>
      </c>
      <c r="G14">
        <v>147</v>
      </c>
      <c r="H14">
        <v>874</v>
      </c>
      <c r="I14" t="s">
        <v>15</v>
      </c>
      <c r="J14">
        <v>24</v>
      </c>
      <c r="K14" t="s">
        <v>16</v>
      </c>
    </row>
    <row r="15" spans="1:14" x14ac:dyDescent="0.3">
      <c r="A15" t="s">
        <v>45</v>
      </c>
      <c r="B15" s="4">
        <v>44932.814070351749</v>
      </c>
      <c r="C15" t="s">
        <v>26</v>
      </c>
      <c r="D15" t="s">
        <v>46</v>
      </c>
      <c r="E15" t="s">
        <v>47</v>
      </c>
      <c r="F15">
        <v>280</v>
      </c>
      <c r="G15">
        <v>198</v>
      </c>
      <c r="H15">
        <v>82</v>
      </c>
      <c r="I15" t="s">
        <v>15</v>
      </c>
      <c r="J15">
        <v>68</v>
      </c>
      <c r="K15" t="s">
        <v>21</v>
      </c>
    </row>
    <row r="16" spans="1:14" x14ac:dyDescent="0.3">
      <c r="A16" t="s">
        <v>48</v>
      </c>
      <c r="B16" s="4">
        <v>44933.261306532659</v>
      </c>
      <c r="C16" t="s">
        <v>12</v>
      </c>
      <c r="D16" t="s">
        <v>27</v>
      </c>
      <c r="E16" t="s">
        <v>35</v>
      </c>
      <c r="F16">
        <v>1482</v>
      </c>
      <c r="G16">
        <v>127</v>
      </c>
      <c r="H16">
        <v>1355</v>
      </c>
      <c r="I16" t="s">
        <v>29</v>
      </c>
      <c r="J16">
        <v>19</v>
      </c>
      <c r="K16" t="s">
        <v>21</v>
      </c>
    </row>
    <row r="17" spans="1:11" x14ac:dyDescent="0.3">
      <c r="A17" t="s">
        <v>49</v>
      </c>
      <c r="B17" s="4">
        <v>44933.708542713568</v>
      </c>
      <c r="C17" t="s">
        <v>43</v>
      </c>
      <c r="D17" t="s">
        <v>46</v>
      </c>
      <c r="E17" t="s">
        <v>31</v>
      </c>
      <c r="F17">
        <v>919</v>
      </c>
      <c r="G17">
        <v>38</v>
      </c>
      <c r="H17">
        <v>881</v>
      </c>
      <c r="I17" t="s">
        <v>15</v>
      </c>
      <c r="J17">
        <v>50</v>
      </c>
      <c r="K17" t="s">
        <v>21</v>
      </c>
    </row>
    <row r="18" spans="1:11" x14ac:dyDescent="0.3">
      <c r="A18" t="s">
        <v>50</v>
      </c>
      <c r="B18" s="4">
        <v>44934.15577889447</v>
      </c>
      <c r="C18" t="s">
        <v>26</v>
      </c>
      <c r="D18" t="s">
        <v>27</v>
      </c>
      <c r="E18" t="s">
        <v>47</v>
      </c>
      <c r="F18">
        <v>493</v>
      </c>
      <c r="G18">
        <v>128</v>
      </c>
      <c r="H18">
        <v>365</v>
      </c>
      <c r="I18" t="s">
        <v>29</v>
      </c>
      <c r="J18">
        <v>48</v>
      </c>
      <c r="K18" t="s">
        <v>21</v>
      </c>
    </row>
    <row r="19" spans="1:11" x14ac:dyDescent="0.3">
      <c r="A19" t="s">
        <v>51</v>
      </c>
      <c r="B19" s="4">
        <v>44934.603015075372</v>
      </c>
      <c r="C19" t="s">
        <v>43</v>
      </c>
      <c r="D19" t="s">
        <v>52</v>
      </c>
      <c r="E19" t="s">
        <v>14</v>
      </c>
      <c r="F19">
        <v>955</v>
      </c>
      <c r="G19">
        <v>266</v>
      </c>
      <c r="H19">
        <v>689</v>
      </c>
      <c r="I19" t="s">
        <v>41</v>
      </c>
      <c r="J19">
        <v>66</v>
      </c>
      <c r="K19" t="s">
        <v>21</v>
      </c>
    </row>
    <row r="20" spans="1:11" x14ac:dyDescent="0.3">
      <c r="A20" t="s">
        <v>53</v>
      </c>
      <c r="B20" s="4">
        <v>44935.050251256267</v>
      </c>
      <c r="C20" t="s">
        <v>54</v>
      </c>
      <c r="D20" t="s">
        <v>52</v>
      </c>
      <c r="E20" t="s">
        <v>28</v>
      </c>
      <c r="F20">
        <v>535</v>
      </c>
      <c r="G20">
        <v>150</v>
      </c>
      <c r="H20">
        <v>385</v>
      </c>
      <c r="I20" t="s">
        <v>15</v>
      </c>
      <c r="J20">
        <v>45</v>
      </c>
      <c r="K20" t="s">
        <v>21</v>
      </c>
    </row>
    <row r="21" spans="1:11" x14ac:dyDescent="0.3">
      <c r="A21" t="s">
        <v>55</v>
      </c>
      <c r="B21" s="4">
        <v>44935.497487437176</v>
      </c>
      <c r="C21" t="s">
        <v>18</v>
      </c>
      <c r="D21" t="s">
        <v>56</v>
      </c>
      <c r="E21" t="s">
        <v>28</v>
      </c>
      <c r="F21">
        <v>1365</v>
      </c>
      <c r="G21">
        <v>297</v>
      </c>
      <c r="H21">
        <v>1068</v>
      </c>
      <c r="I21" t="s">
        <v>15</v>
      </c>
      <c r="J21">
        <v>24</v>
      </c>
      <c r="K21" t="s">
        <v>21</v>
      </c>
    </row>
    <row r="22" spans="1:11" x14ac:dyDescent="0.3">
      <c r="A22" t="s">
        <v>57</v>
      </c>
      <c r="B22" s="4">
        <v>44935.944723618093</v>
      </c>
      <c r="C22" t="s">
        <v>54</v>
      </c>
      <c r="D22" t="s">
        <v>52</v>
      </c>
      <c r="E22" t="s">
        <v>14</v>
      </c>
      <c r="F22">
        <v>1105</v>
      </c>
      <c r="G22">
        <v>98</v>
      </c>
      <c r="H22">
        <v>1007</v>
      </c>
      <c r="I22" t="s">
        <v>24</v>
      </c>
      <c r="J22">
        <v>72</v>
      </c>
      <c r="K22" t="s">
        <v>16</v>
      </c>
    </row>
    <row r="23" spans="1:11" x14ac:dyDescent="0.3">
      <c r="A23" t="s">
        <v>58</v>
      </c>
      <c r="B23" s="4">
        <v>44936.391959799003</v>
      </c>
      <c r="C23" t="s">
        <v>12</v>
      </c>
      <c r="D23" t="s">
        <v>52</v>
      </c>
      <c r="E23" t="s">
        <v>20</v>
      </c>
      <c r="F23">
        <v>426</v>
      </c>
      <c r="G23">
        <v>262</v>
      </c>
      <c r="H23">
        <v>164</v>
      </c>
      <c r="I23" t="s">
        <v>15</v>
      </c>
      <c r="J23">
        <v>33</v>
      </c>
      <c r="K23" t="s">
        <v>16</v>
      </c>
    </row>
    <row r="24" spans="1:11" x14ac:dyDescent="0.3">
      <c r="A24" t="s">
        <v>59</v>
      </c>
      <c r="B24" s="4">
        <v>44936.839195979897</v>
      </c>
      <c r="C24" t="s">
        <v>23</v>
      </c>
      <c r="D24" t="s">
        <v>27</v>
      </c>
      <c r="E24" t="s">
        <v>47</v>
      </c>
      <c r="F24">
        <v>1334</v>
      </c>
      <c r="G24">
        <v>251</v>
      </c>
      <c r="H24">
        <v>1083</v>
      </c>
      <c r="I24" t="s">
        <v>41</v>
      </c>
      <c r="J24">
        <v>72</v>
      </c>
      <c r="K24" t="s">
        <v>16</v>
      </c>
    </row>
    <row r="25" spans="1:11" x14ac:dyDescent="0.3">
      <c r="A25" t="s">
        <v>60</v>
      </c>
      <c r="B25" s="4">
        <v>44937.286432160799</v>
      </c>
      <c r="C25" t="s">
        <v>26</v>
      </c>
      <c r="D25" t="s">
        <v>19</v>
      </c>
      <c r="E25" t="s">
        <v>14</v>
      </c>
      <c r="F25">
        <v>609</v>
      </c>
      <c r="G25">
        <v>143</v>
      </c>
      <c r="H25">
        <v>466</v>
      </c>
      <c r="I25" t="s">
        <v>15</v>
      </c>
      <c r="J25">
        <v>46</v>
      </c>
      <c r="K25" t="s">
        <v>16</v>
      </c>
    </row>
    <row r="26" spans="1:11" x14ac:dyDescent="0.3">
      <c r="A26" t="s">
        <v>61</v>
      </c>
      <c r="B26" s="4">
        <v>44937.733668341702</v>
      </c>
      <c r="C26" t="s">
        <v>34</v>
      </c>
      <c r="D26" t="s">
        <v>19</v>
      </c>
      <c r="E26" t="s">
        <v>28</v>
      </c>
      <c r="F26">
        <v>1487</v>
      </c>
      <c r="G26">
        <v>111</v>
      </c>
      <c r="H26">
        <v>1376</v>
      </c>
      <c r="I26" t="s">
        <v>29</v>
      </c>
      <c r="J26">
        <v>15</v>
      </c>
      <c r="K26" t="s">
        <v>21</v>
      </c>
    </row>
    <row r="27" spans="1:11" x14ac:dyDescent="0.3">
      <c r="A27" t="s">
        <v>62</v>
      </c>
      <c r="B27" s="4">
        <v>44938.180904522596</v>
      </c>
      <c r="C27" t="s">
        <v>23</v>
      </c>
      <c r="D27" t="s">
        <v>46</v>
      </c>
      <c r="E27" t="s">
        <v>28</v>
      </c>
      <c r="F27">
        <v>171</v>
      </c>
      <c r="G27">
        <v>59</v>
      </c>
      <c r="H27">
        <v>112</v>
      </c>
      <c r="I27" t="s">
        <v>15</v>
      </c>
      <c r="J27">
        <v>70</v>
      </c>
      <c r="K27" t="s">
        <v>21</v>
      </c>
    </row>
    <row r="28" spans="1:11" x14ac:dyDescent="0.3">
      <c r="A28" t="s">
        <v>63</v>
      </c>
      <c r="B28" s="4">
        <v>44938.628140703513</v>
      </c>
      <c r="C28" t="s">
        <v>18</v>
      </c>
      <c r="D28" t="s">
        <v>19</v>
      </c>
      <c r="E28" t="s">
        <v>47</v>
      </c>
      <c r="F28">
        <v>402</v>
      </c>
      <c r="G28">
        <v>1</v>
      </c>
      <c r="H28">
        <v>401</v>
      </c>
      <c r="I28" t="s">
        <v>29</v>
      </c>
      <c r="J28">
        <v>19</v>
      </c>
      <c r="K28" t="s">
        <v>16</v>
      </c>
    </row>
    <row r="29" spans="1:11" x14ac:dyDescent="0.3">
      <c r="A29" t="s">
        <v>64</v>
      </c>
      <c r="B29" s="4">
        <v>44939.075376884422</v>
      </c>
      <c r="C29" t="s">
        <v>18</v>
      </c>
      <c r="D29" t="s">
        <v>13</v>
      </c>
      <c r="E29" t="s">
        <v>35</v>
      </c>
      <c r="F29">
        <v>897</v>
      </c>
      <c r="G29">
        <v>253</v>
      </c>
      <c r="H29">
        <v>644</v>
      </c>
      <c r="I29" t="s">
        <v>24</v>
      </c>
      <c r="J29">
        <v>59</v>
      </c>
      <c r="K29" t="s">
        <v>16</v>
      </c>
    </row>
    <row r="30" spans="1:11" x14ac:dyDescent="0.3">
      <c r="A30" t="s">
        <v>65</v>
      </c>
      <c r="B30" s="4">
        <v>44939.522613065317</v>
      </c>
      <c r="C30" t="s">
        <v>54</v>
      </c>
      <c r="D30" t="s">
        <v>56</v>
      </c>
      <c r="E30" t="s">
        <v>14</v>
      </c>
      <c r="F30">
        <v>1006</v>
      </c>
      <c r="G30">
        <v>139</v>
      </c>
      <c r="H30">
        <v>867</v>
      </c>
      <c r="I30" t="s">
        <v>15</v>
      </c>
      <c r="J30">
        <v>18</v>
      </c>
      <c r="K30" t="s">
        <v>16</v>
      </c>
    </row>
    <row r="31" spans="1:11" x14ac:dyDescent="0.3">
      <c r="A31" t="s">
        <v>66</v>
      </c>
      <c r="B31" s="4">
        <v>44939.969849246227</v>
      </c>
      <c r="C31" t="s">
        <v>43</v>
      </c>
      <c r="D31" t="s">
        <v>52</v>
      </c>
      <c r="E31" t="s">
        <v>31</v>
      </c>
      <c r="F31">
        <v>624</v>
      </c>
      <c r="G31">
        <v>36</v>
      </c>
      <c r="H31">
        <v>588</v>
      </c>
      <c r="I31" t="s">
        <v>24</v>
      </c>
      <c r="J31">
        <v>30</v>
      </c>
      <c r="K31" t="s">
        <v>21</v>
      </c>
    </row>
    <row r="32" spans="1:11" x14ac:dyDescent="0.3">
      <c r="A32" t="s">
        <v>67</v>
      </c>
      <c r="B32" s="4">
        <v>44940.417085427129</v>
      </c>
      <c r="C32" t="s">
        <v>54</v>
      </c>
      <c r="D32" t="s">
        <v>56</v>
      </c>
      <c r="E32" t="s">
        <v>14</v>
      </c>
      <c r="F32">
        <v>1232</v>
      </c>
      <c r="G32">
        <v>159</v>
      </c>
      <c r="H32">
        <v>1073</v>
      </c>
      <c r="I32" t="s">
        <v>24</v>
      </c>
      <c r="J32">
        <v>38</v>
      </c>
      <c r="K32" t="s">
        <v>21</v>
      </c>
    </row>
    <row r="33" spans="1:11" x14ac:dyDescent="0.3">
      <c r="A33" t="s">
        <v>68</v>
      </c>
      <c r="B33" s="4">
        <v>44940.864321608031</v>
      </c>
      <c r="C33" t="s">
        <v>12</v>
      </c>
      <c r="D33" t="s">
        <v>13</v>
      </c>
      <c r="E33" t="s">
        <v>35</v>
      </c>
      <c r="F33">
        <v>660</v>
      </c>
      <c r="G33">
        <v>8</v>
      </c>
      <c r="H33">
        <v>652</v>
      </c>
      <c r="I33" t="s">
        <v>15</v>
      </c>
      <c r="J33">
        <v>30</v>
      </c>
      <c r="K33" t="s">
        <v>16</v>
      </c>
    </row>
    <row r="34" spans="1:11" x14ac:dyDescent="0.3">
      <c r="A34" t="s">
        <v>69</v>
      </c>
      <c r="B34" s="4">
        <v>44941.311557788933</v>
      </c>
      <c r="C34" t="s">
        <v>43</v>
      </c>
      <c r="D34" t="s">
        <v>52</v>
      </c>
      <c r="E34" t="s">
        <v>47</v>
      </c>
      <c r="F34">
        <v>849</v>
      </c>
      <c r="G34">
        <v>232</v>
      </c>
      <c r="H34">
        <v>617</v>
      </c>
      <c r="I34" t="s">
        <v>29</v>
      </c>
      <c r="J34">
        <v>69</v>
      </c>
      <c r="K34" t="s">
        <v>21</v>
      </c>
    </row>
    <row r="35" spans="1:11" x14ac:dyDescent="0.3">
      <c r="A35" t="s">
        <v>70</v>
      </c>
      <c r="B35" s="4">
        <v>44941.758793969842</v>
      </c>
      <c r="C35" t="s">
        <v>34</v>
      </c>
      <c r="D35" t="s">
        <v>46</v>
      </c>
      <c r="E35" t="s">
        <v>47</v>
      </c>
      <c r="F35">
        <v>1125</v>
      </c>
      <c r="G35">
        <v>98</v>
      </c>
      <c r="H35">
        <v>1027</v>
      </c>
      <c r="I35" t="s">
        <v>15</v>
      </c>
      <c r="J35">
        <v>16</v>
      </c>
      <c r="K35" t="s">
        <v>16</v>
      </c>
    </row>
    <row r="36" spans="1:11" x14ac:dyDescent="0.3">
      <c r="A36" t="s">
        <v>71</v>
      </c>
      <c r="B36" s="4">
        <v>44942.206030150752</v>
      </c>
      <c r="C36" t="s">
        <v>38</v>
      </c>
      <c r="D36" t="s">
        <v>13</v>
      </c>
      <c r="E36" t="s">
        <v>28</v>
      </c>
      <c r="F36">
        <v>339</v>
      </c>
      <c r="G36">
        <v>146</v>
      </c>
      <c r="H36">
        <v>193</v>
      </c>
      <c r="I36" t="s">
        <v>29</v>
      </c>
      <c r="J36">
        <v>63</v>
      </c>
      <c r="K36" t="s">
        <v>21</v>
      </c>
    </row>
    <row r="37" spans="1:11" x14ac:dyDescent="0.3">
      <c r="A37" t="s">
        <v>72</v>
      </c>
      <c r="B37" s="4">
        <v>44942.653266331647</v>
      </c>
      <c r="C37" t="s">
        <v>43</v>
      </c>
      <c r="D37" t="s">
        <v>13</v>
      </c>
      <c r="E37" t="s">
        <v>35</v>
      </c>
      <c r="F37">
        <v>1107</v>
      </c>
      <c r="G37">
        <v>207</v>
      </c>
      <c r="H37">
        <v>900</v>
      </c>
      <c r="I37" t="s">
        <v>24</v>
      </c>
      <c r="J37">
        <v>42</v>
      </c>
      <c r="K37" t="s">
        <v>21</v>
      </c>
    </row>
    <row r="38" spans="1:11" x14ac:dyDescent="0.3">
      <c r="A38" t="s">
        <v>73</v>
      </c>
      <c r="B38" s="4">
        <v>44943.100502512563</v>
      </c>
      <c r="C38" t="s">
        <v>54</v>
      </c>
      <c r="D38" t="s">
        <v>56</v>
      </c>
      <c r="E38" t="s">
        <v>47</v>
      </c>
      <c r="F38">
        <v>836</v>
      </c>
      <c r="G38">
        <v>130</v>
      </c>
      <c r="H38">
        <v>706</v>
      </c>
      <c r="I38" t="s">
        <v>41</v>
      </c>
      <c r="J38">
        <v>46</v>
      </c>
      <c r="K38" t="s">
        <v>21</v>
      </c>
    </row>
    <row r="39" spans="1:11" x14ac:dyDescent="0.3">
      <c r="A39" t="s">
        <v>74</v>
      </c>
      <c r="B39" s="4">
        <v>44943.547738693458</v>
      </c>
      <c r="C39" t="s">
        <v>43</v>
      </c>
      <c r="D39" t="s">
        <v>27</v>
      </c>
      <c r="E39" t="s">
        <v>20</v>
      </c>
      <c r="F39">
        <v>1107</v>
      </c>
      <c r="G39">
        <v>151</v>
      </c>
      <c r="H39">
        <v>956</v>
      </c>
      <c r="I39" t="s">
        <v>15</v>
      </c>
      <c r="J39">
        <v>41</v>
      </c>
      <c r="K39" t="s">
        <v>16</v>
      </c>
    </row>
    <row r="40" spans="1:11" x14ac:dyDescent="0.3">
      <c r="A40" t="s">
        <v>75</v>
      </c>
      <c r="B40" s="4">
        <v>44943.99497487436</v>
      </c>
      <c r="C40" t="s">
        <v>54</v>
      </c>
      <c r="D40" t="s">
        <v>56</v>
      </c>
      <c r="E40" t="s">
        <v>14</v>
      </c>
      <c r="F40">
        <v>712</v>
      </c>
      <c r="G40">
        <v>53</v>
      </c>
      <c r="H40">
        <v>659</v>
      </c>
      <c r="I40" t="s">
        <v>41</v>
      </c>
      <c r="J40">
        <v>34</v>
      </c>
      <c r="K40" t="s">
        <v>21</v>
      </c>
    </row>
    <row r="41" spans="1:11" x14ac:dyDescent="0.3">
      <c r="A41" t="s">
        <v>76</v>
      </c>
      <c r="B41" s="4">
        <v>44944.44221105527</v>
      </c>
      <c r="C41" t="s">
        <v>43</v>
      </c>
      <c r="D41" t="s">
        <v>56</v>
      </c>
      <c r="E41" t="s">
        <v>28</v>
      </c>
      <c r="F41">
        <v>1417</v>
      </c>
      <c r="G41">
        <v>119</v>
      </c>
      <c r="H41">
        <v>1298</v>
      </c>
      <c r="I41" t="s">
        <v>29</v>
      </c>
      <c r="J41">
        <v>38</v>
      </c>
      <c r="K41" t="s">
        <v>21</v>
      </c>
    </row>
    <row r="42" spans="1:11" x14ac:dyDescent="0.3">
      <c r="A42" t="s">
        <v>77</v>
      </c>
      <c r="B42" s="4">
        <v>44944.889447236179</v>
      </c>
      <c r="C42" t="s">
        <v>12</v>
      </c>
      <c r="D42" t="s">
        <v>19</v>
      </c>
      <c r="E42" t="s">
        <v>31</v>
      </c>
      <c r="F42">
        <v>981</v>
      </c>
      <c r="G42">
        <v>160</v>
      </c>
      <c r="H42">
        <v>821</v>
      </c>
      <c r="I42" t="s">
        <v>15</v>
      </c>
      <c r="J42">
        <v>26</v>
      </c>
      <c r="K42" t="s">
        <v>21</v>
      </c>
    </row>
    <row r="43" spans="1:11" x14ac:dyDescent="0.3">
      <c r="A43" t="s">
        <v>78</v>
      </c>
      <c r="B43" s="4">
        <v>44945.336683417081</v>
      </c>
      <c r="C43" t="s">
        <v>18</v>
      </c>
      <c r="D43" t="s">
        <v>13</v>
      </c>
      <c r="E43" t="s">
        <v>35</v>
      </c>
      <c r="F43">
        <v>1304</v>
      </c>
      <c r="G43">
        <v>115</v>
      </c>
      <c r="H43">
        <v>1189</v>
      </c>
      <c r="I43" t="s">
        <v>41</v>
      </c>
      <c r="J43">
        <v>64</v>
      </c>
      <c r="K43" t="s">
        <v>21</v>
      </c>
    </row>
    <row r="44" spans="1:11" x14ac:dyDescent="0.3">
      <c r="A44" t="s">
        <v>79</v>
      </c>
      <c r="B44" s="4">
        <v>44945.783919597983</v>
      </c>
      <c r="C44" t="s">
        <v>26</v>
      </c>
      <c r="D44" t="s">
        <v>56</v>
      </c>
      <c r="E44" t="s">
        <v>28</v>
      </c>
      <c r="F44">
        <v>796</v>
      </c>
      <c r="G44">
        <v>74</v>
      </c>
      <c r="H44">
        <v>722</v>
      </c>
      <c r="I44" t="s">
        <v>41</v>
      </c>
      <c r="J44">
        <v>49</v>
      </c>
      <c r="K44" t="s">
        <v>16</v>
      </c>
    </row>
    <row r="45" spans="1:11" x14ac:dyDescent="0.3">
      <c r="A45" t="s">
        <v>80</v>
      </c>
      <c r="B45" s="4">
        <v>44946.231155778893</v>
      </c>
      <c r="C45" t="s">
        <v>23</v>
      </c>
      <c r="D45" t="s">
        <v>13</v>
      </c>
      <c r="E45" t="s">
        <v>47</v>
      </c>
      <c r="F45">
        <v>170</v>
      </c>
      <c r="G45">
        <v>112</v>
      </c>
      <c r="H45">
        <v>58</v>
      </c>
      <c r="I45" t="s">
        <v>15</v>
      </c>
      <c r="J45">
        <v>74</v>
      </c>
      <c r="K45" t="s">
        <v>16</v>
      </c>
    </row>
    <row r="46" spans="1:11" x14ac:dyDescent="0.3">
      <c r="A46" t="s">
        <v>81</v>
      </c>
      <c r="B46" s="4">
        <v>44946.678391959787</v>
      </c>
      <c r="C46" t="s">
        <v>18</v>
      </c>
      <c r="D46" t="s">
        <v>19</v>
      </c>
      <c r="E46" t="s">
        <v>47</v>
      </c>
      <c r="F46">
        <v>990</v>
      </c>
      <c r="G46">
        <v>103</v>
      </c>
      <c r="H46">
        <v>887</v>
      </c>
      <c r="I46" t="s">
        <v>41</v>
      </c>
      <c r="J46">
        <v>47</v>
      </c>
      <c r="K46" t="s">
        <v>16</v>
      </c>
    </row>
    <row r="47" spans="1:11" x14ac:dyDescent="0.3">
      <c r="A47" t="s">
        <v>82</v>
      </c>
      <c r="B47" s="4">
        <v>44947.125628140697</v>
      </c>
      <c r="C47" t="s">
        <v>26</v>
      </c>
      <c r="D47" t="s">
        <v>13</v>
      </c>
      <c r="E47" t="s">
        <v>31</v>
      </c>
      <c r="F47">
        <v>316</v>
      </c>
      <c r="G47">
        <v>253</v>
      </c>
      <c r="H47">
        <v>63</v>
      </c>
      <c r="I47" t="s">
        <v>15</v>
      </c>
      <c r="J47">
        <v>47</v>
      </c>
      <c r="K47" t="s">
        <v>21</v>
      </c>
    </row>
    <row r="48" spans="1:11" x14ac:dyDescent="0.3">
      <c r="A48" t="s">
        <v>83</v>
      </c>
      <c r="B48" s="4">
        <v>44947.572864321599</v>
      </c>
      <c r="C48" t="s">
        <v>18</v>
      </c>
      <c r="D48" t="s">
        <v>56</v>
      </c>
      <c r="E48" t="s">
        <v>31</v>
      </c>
      <c r="F48">
        <v>1447</v>
      </c>
      <c r="G48">
        <v>226</v>
      </c>
      <c r="H48">
        <v>1221</v>
      </c>
      <c r="I48" t="s">
        <v>41</v>
      </c>
      <c r="J48">
        <v>65</v>
      </c>
      <c r="K48" t="s">
        <v>16</v>
      </c>
    </row>
    <row r="49" spans="1:11" x14ac:dyDescent="0.3">
      <c r="A49" t="s">
        <v>84</v>
      </c>
      <c r="B49" s="4">
        <v>44948.020100502508</v>
      </c>
      <c r="C49" t="s">
        <v>23</v>
      </c>
      <c r="D49" t="s">
        <v>13</v>
      </c>
      <c r="E49" t="s">
        <v>31</v>
      </c>
      <c r="F49">
        <v>537</v>
      </c>
      <c r="G49">
        <v>111</v>
      </c>
      <c r="H49">
        <v>426</v>
      </c>
      <c r="I49" t="s">
        <v>24</v>
      </c>
      <c r="J49">
        <v>57</v>
      </c>
      <c r="K49" t="s">
        <v>16</v>
      </c>
    </row>
    <row r="50" spans="1:11" x14ac:dyDescent="0.3">
      <c r="A50" t="s">
        <v>85</v>
      </c>
      <c r="B50" s="4">
        <v>44948.467336683418</v>
      </c>
      <c r="C50" t="s">
        <v>12</v>
      </c>
      <c r="D50" t="s">
        <v>52</v>
      </c>
      <c r="E50" t="s">
        <v>31</v>
      </c>
      <c r="F50">
        <v>750</v>
      </c>
      <c r="G50">
        <v>98</v>
      </c>
      <c r="H50">
        <v>652</v>
      </c>
      <c r="I50" t="s">
        <v>15</v>
      </c>
      <c r="J50">
        <v>51</v>
      </c>
      <c r="K50" t="s">
        <v>16</v>
      </c>
    </row>
    <row r="51" spans="1:11" x14ac:dyDescent="0.3">
      <c r="A51" t="s">
        <v>86</v>
      </c>
      <c r="B51" s="4">
        <v>44948.91457286432</v>
      </c>
      <c r="C51" t="s">
        <v>23</v>
      </c>
      <c r="D51" t="s">
        <v>19</v>
      </c>
      <c r="E51" t="s">
        <v>31</v>
      </c>
      <c r="F51">
        <v>465</v>
      </c>
      <c r="G51">
        <v>152</v>
      </c>
      <c r="H51">
        <v>313</v>
      </c>
      <c r="I51" t="s">
        <v>24</v>
      </c>
      <c r="J51">
        <v>26</v>
      </c>
      <c r="K51" t="s">
        <v>16</v>
      </c>
    </row>
    <row r="52" spans="1:11" x14ac:dyDescent="0.3">
      <c r="A52" t="s">
        <v>87</v>
      </c>
      <c r="B52" s="4">
        <v>44949.361809045222</v>
      </c>
      <c r="C52" t="s">
        <v>23</v>
      </c>
      <c r="D52" t="s">
        <v>27</v>
      </c>
      <c r="E52" t="s">
        <v>20</v>
      </c>
      <c r="F52">
        <v>163</v>
      </c>
      <c r="G52">
        <v>193</v>
      </c>
      <c r="H52">
        <v>-30</v>
      </c>
      <c r="I52" t="s">
        <v>24</v>
      </c>
      <c r="J52">
        <v>17</v>
      </c>
      <c r="K52" t="s">
        <v>16</v>
      </c>
    </row>
    <row r="53" spans="1:11" x14ac:dyDescent="0.3">
      <c r="A53" t="s">
        <v>88</v>
      </c>
      <c r="B53" s="4">
        <v>44949.809045226117</v>
      </c>
      <c r="C53" t="s">
        <v>26</v>
      </c>
      <c r="D53" t="s">
        <v>13</v>
      </c>
      <c r="E53" t="s">
        <v>14</v>
      </c>
      <c r="F53">
        <v>391</v>
      </c>
      <c r="G53">
        <v>162</v>
      </c>
      <c r="H53">
        <v>229</v>
      </c>
      <c r="I53" t="s">
        <v>41</v>
      </c>
      <c r="J53">
        <v>15</v>
      </c>
      <c r="K53" t="s">
        <v>16</v>
      </c>
    </row>
    <row r="54" spans="1:11" x14ac:dyDescent="0.3">
      <c r="A54" t="s">
        <v>89</v>
      </c>
      <c r="B54" s="4">
        <v>44950.256281407033</v>
      </c>
      <c r="C54" t="s">
        <v>23</v>
      </c>
      <c r="D54" t="s">
        <v>56</v>
      </c>
      <c r="E54" t="s">
        <v>35</v>
      </c>
      <c r="F54">
        <v>926</v>
      </c>
      <c r="G54">
        <v>207</v>
      </c>
      <c r="H54">
        <v>719</v>
      </c>
      <c r="I54" t="s">
        <v>29</v>
      </c>
      <c r="J54">
        <v>47</v>
      </c>
      <c r="K54" t="s">
        <v>21</v>
      </c>
    </row>
    <row r="55" spans="1:11" x14ac:dyDescent="0.3">
      <c r="A55" t="s">
        <v>90</v>
      </c>
      <c r="B55" s="4">
        <v>44950.703517587928</v>
      </c>
      <c r="C55" t="s">
        <v>34</v>
      </c>
      <c r="D55" t="s">
        <v>19</v>
      </c>
      <c r="E55" t="s">
        <v>28</v>
      </c>
      <c r="F55">
        <v>714</v>
      </c>
      <c r="G55">
        <v>168</v>
      </c>
      <c r="H55">
        <v>546</v>
      </c>
      <c r="I55" t="s">
        <v>24</v>
      </c>
      <c r="J55">
        <v>54</v>
      </c>
      <c r="K55" t="s">
        <v>21</v>
      </c>
    </row>
    <row r="56" spans="1:11" x14ac:dyDescent="0.3">
      <c r="A56" t="s">
        <v>91</v>
      </c>
      <c r="B56" s="4">
        <v>44951.150753768838</v>
      </c>
      <c r="C56" t="s">
        <v>12</v>
      </c>
      <c r="D56" t="s">
        <v>56</v>
      </c>
      <c r="E56" t="s">
        <v>31</v>
      </c>
      <c r="F56">
        <v>1047</v>
      </c>
      <c r="G56">
        <v>160</v>
      </c>
      <c r="H56">
        <v>887</v>
      </c>
      <c r="I56" t="s">
        <v>24</v>
      </c>
      <c r="J56">
        <v>24</v>
      </c>
      <c r="K56" t="s">
        <v>16</v>
      </c>
    </row>
    <row r="57" spans="1:11" x14ac:dyDescent="0.3">
      <c r="A57" t="s">
        <v>92</v>
      </c>
      <c r="B57" s="4">
        <v>44951.597989949747</v>
      </c>
      <c r="C57" t="s">
        <v>43</v>
      </c>
      <c r="D57" t="s">
        <v>56</v>
      </c>
      <c r="E57" t="s">
        <v>14</v>
      </c>
      <c r="F57">
        <v>241</v>
      </c>
      <c r="G57">
        <v>67</v>
      </c>
      <c r="H57">
        <v>174</v>
      </c>
      <c r="I57" t="s">
        <v>24</v>
      </c>
      <c r="J57">
        <v>57</v>
      </c>
      <c r="K57" t="s">
        <v>16</v>
      </c>
    </row>
    <row r="58" spans="1:11" x14ac:dyDescent="0.3">
      <c r="A58" t="s">
        <v>93</v>
      </c>
      <c r="B58" s="4">
        <v>44952.045226130649</v>
      </c>
      <c r="C58" t="s">
        <v>26</v>
      </c>
      <c r="D58" t="s">
        <v>13</v>
      </c>
      <c r="E58" t="s">
        <v>47</v>
      </c>
      <c r="F58">
        <v>1105</v>
      </c>
      <c r="G58">
        <v>288</v>
      </c>
      <c r="H58">
        <v>817</v>
      </c>
      <c r="I58" t="s">
        <v>29</v>
      </c>
      <c r="J58">
        <v>58</v>
      </c>
      <c r="K58" t="s">
        <v>16</v>
      </c>
    </row>
    <row r="59" spans="1:11" x14ac:dyDescent="0.3">
      <c r="A59" t="s">
        <v>94</v>
      </c>
      <c r="B59" s="4">
        <v>44952.492462311551</v>
      </c>
      <c r="C59" t="s">
        <v>12</v>
      </c>
      <c r="D59" t="s">
        <v>56</v>
      </c>
      <c r="E59" t="s">
        <v>14</v>
      </c>
      <c r="F59">
        <v>658</v>
      </c>
      <c r="G59">
        <v>276</v>
      </c>
      <c r="H59">
        <v>382</v>
      </c>
      <c r="I59" t="s">
        <v>29</v>
      </c>
      <c r="J59">
        <v>43</v>
      </c>
      <c r="K59" t="s">
        <v>21</v>
      </c>
    </row>
    <row r="60" spans="1:11" x14ac:dyDescent="0.3">
      <c r="A60" t="s">
        <v>95</v>
      </c>
      <c r="B60" s="4">
        <v>44952.939698492453</v>
      </c>
      <c r="C60" t="s">
        <v>26</v>
      </c>
      <c r="D60" t="s">
        <v>13</v>
      </c>
      <c r="E60" t="s">
        <v>31</v>
      </c>
      <c r="F60">
        <v>925</v>
      </c>
      <c r="G60">
        <v>134</v>
      </c>
      <c r="H60">
        <v>791</v>
      </c>
      <c r="I60" t="s">
        <v>24</v>
      </c>
      <c r="J60">
        <v>27</v>
      </c>
      <c r="K60" t="s">
        <v>21</v>
      </c>
    </row>
    <row r="61" spans="1:11" x14ac:dyDescent="0.3">
      <c r="A61" t="s">
        <v>96</v>
      </c>
      <c r="B61" s="4">
        <v>44953.386934673363</v>
      </c>
      <c r="C61" t="s">
        <v>38</v>
      </c>
      <c r="D61" t="s">
        <v>27</v>
      </c>
      <c r="E61" t="s">
        <v>28</v>
      </c>
      <c r="F61">
        <v>184</v>
      </c>
      <c r="G61">
        <v>194</v>
      </c>
      <c r="H61">
        <v>-10</v>
      </c>
      <c r="I61" t="s">
        <v>29</v>
      </c>
      <c r="J61">
        <v>26</v>
      </c>
      <c r="K61" t="s">
        <v>21</v>
      </c>
    </row>
    <row r="62" spans="1:11" x14ac:dyDescent="0.3">
      <c r="A62" t="s">
        <v>97</v>
      </c>
      <c r="B62" s="4">
        <v>44953.834170854272</v>
      </c>
      <c r="C62" t="s">
        <v>34</v>
      </c>
      <c r="D62" t="s">
        <v>52</v>
      </c>
      <c r="E62" t="s">
        <v>31</v>
      </c>
      <c r="F62">
        <v>355</v>
      </c>
      <c r="G62">
        <v>127</v>
      </c>
      <c r="H62">
        <v>228</v>
      </c>
      <c r="I62" t="s">
        <v>29</v>
      </c>
      <c r="J62">
        <v>45</v>
      </c>
      <c r="K62" t="s">
        <v>21</v>
      </c>
    </row>
    <row r="63" spans="1:11" x14ac:dyDescent="0.3">
      <c r="A63" t="s">
        <v>98</v>
      </c>
      <c r="B63" s="4">
        <v>44954.281407035167</v>
      </c>
      <c r="C63" t="s">
        <v>12</v>
      </c>
      <c r="D63" t="s">
        <v>56</v>
      </c>
      <c r="E63" t="s">
        <v>14</v>
      </c>
      <c r="F63">
        <v>1254</v>
      </c>
      <c r="G63">
        <v>32</v>
      </c>
      <c r="H63">
        <v>1222</v>
      </c>
      <c r="I63" t="s">
        <v>29</v>
      </c>
      <c r="J63">
        <v>60</v>
      </c>
      <c r="K63" t="s">
        <v>16</v>
      </c>
    </row>
    <row r="64" spans="1:11" x14ac:dyDescent="0.3">
      <c r="A64" t="s">
        <v>99</v>
      </c>
      <c r="B64" s="4">
        <v>44954.728643216084</v>
      </c>
      <c r="C64" t="s">
        <v>43</v>
      </c>
      <c r="D64" t="s">
        <v>56</v>
      </c>
      <c r="E64" t="s">
        <v>47</v>
      </c>
      <c r="F64">
        <v>1175</v>
      </c>
      <c r="G64">
        <v>175</v>
      </c>
      <c r="H64">
        <v>1000</v>
      </c>
      <c r="I64" t="s">
        <v>15</v>
      </c>
      <c r="J64">
        <v>16</v>
      </c>
      <c r="K64" t="s">
        <v>21</v>
      </c>
    </row>
    <row r="65" spans="1:11" x14ac:dyDescent="0.3">
      <c r="A65" t="s">
        <v>100</v>
      </c>
      <c r="B65" s="4">
        <v>44955.175879396978</v>
      </c>
      <c r="C65" t="s">
        <v>12</v>
      </c>
      <c r="D65" t="s">
        <v>56</v>
      </c>
      <c r="E65" t="s">
        <v>14</v>
      </c>
      <c r="F65">
        <v>1171</v>
      </c>
      <c r="G65">
        <v>21</v>
      </c>
      <c r="H65">
        <v>1150</v>
      </c>
      <c r="I65" t="s">
        <v>24</v>
      </c>
      <c r="J65">
        <v>65</v>
      </c>
      <c r="K65" t="s">
        <v>21</v>
      </c>
    </row>
    <row r="66" spans="1:11" x14ac:dyDescent="0.3">
      <c r="A66" t="s">
        <v>101</v>
      </c>
      <c r="B66" s="4">
        <v>44955.623115577881</v>
      </c>
      <c r="C66" t="s">
        <v>54</v>
      </c>
      <c r="D66" t="s">
        <v>46</v>
      </c>
      <c r="E66" t="s">
        <v>31</v>
      </c>
      <c r="F66">
        <v>715</v>
      </c>
      <c r="G66">
        <v>237</v>
      </c>
      <c r="H66">
        <v>478</v>
      </c>
      <c r="I66" t="s">
        <v>29</v>
      </c>
      <c r="J66">
        <v>64</v>
      </c>
      <c r="K66" t="s">
        <v>16</v>
      </c>
    </row>
    <row r="67" spans="1:11" x14ac:dyDescent="0.3">
      <c r="A67" t="s">
        <v>102</v>
      </c>
      <c r="B67" s="4">
        <v>44956.070351758783</v>
      </c>
      <c r="C67" t="s">
        <v>54</v>
      </c>
      <c r="D67" t="s">
        <v>46</v>
      </c>
      <c r="E67" t="s">
        <v>35</v>
      </c>
      <c r="F67">
        <v>1279</v>
      </c>
      <c r="G67">
        <v>157</v>
      </c>
      <c r="H67">
        <v>1122</v>
      </c>
      <c r="I67" t="s">
        <v>15</v>
      </c>
      <c r="J67">
        <v>49</v>
      </c>
      <c r="K67" t="s">
        <v>16</v>
      </c>
    </row>
    <row r="68" spans="1:11" x14ac:dyDescent="0.3">
      <c r="A68" t="s">
        <v>103</v>
      </c>
      <c r="B68" s="4">
        <v>44956.517587939677</v>
      </c>
      <c r="C68" t="s">
        <v>26</v>
      </c>
      <c r="D68" t="s">
        <v>19</v>
      </c>
      <c r="E68" t="s">
        <v>14</v>
      </c>
      <c r="F68">
        <v>852</v>
      </c>
      <c r="G68">
        <v>37</v>
      </c>
      <c r="H68">
        <v>815</v>
      </c>
      <c r="I68" t="s">
        <v>41</v>
      </c>
      <c r="J68">
        <v>37</v>
      </c>
      <c r="K68" t="s">
        <v>16</v>
      </c>
    </row>
    <row r="69" spans="1:11" x14ac:dyDescent="0.3">
      <c r="A69" t="s">
        <v>104</v>
      </c>
      <c r="B69" s="4">
        <v>44956.964824120601</v>
      </c>
      <c r="C69" t="s">
        <v>18</v>
      </c>
      <c r="D69" t="s">
        <v>52</v>
      </c>
      <c r="E69" t="s">
        <v>35</v>
      </c>
      <c r="F69">
        <v>551</v>
      </c>
      <c r="G69">
        <v>229</v>
      </c>
      <c r="H69">
        <v>322</v>
      </c>
      <c r="I69" t="s">
        <v>41</v>
      </c>
      <c r="J69">
        <v>31</v>
      </c>
      <c r="K69" t="s">
        <v>21</v>
      </c>
    </row>
    <row r="70" spans="1:11" x14ac:dyDescent="0.3">
      <c r="A70" t="s">
        <v>105</v>
      </c>
      <c r="B70" s="4">
        <v>44957.412060301504</v>
      </c>
      <c r="C70" t="s">
        <v>23</v>
      </c>
      <c r="D70" t="s">
        <v>52</v>
      </c>
      <c r="E70" t="s">
        <v>31</v>
      </c>
      <c r="F70">
        <v>879</v>
      </c>
      <c r="G70">
        <v>50</v>
      </c>
      <c r="H70">
        <v>829</v>
      </c>
      <c r="I70" t="s">
        <v>29</v>
      </c>
      <c r="J70">
        <v>40</v>
      </c>
      <c r="K70" t="s">
        <v>16</v>
      </c>
    </row>
    <row r="71" spans="1:11" x14ac:dyDescent="0.3">
      <c r="A71" t="s">
        <v>106</v>
      </c>
      <c r="B71" s="4">
        <v>44957.859296482413</v>
      </c>
      <c r="C71" t="s">
        <v>23</v>
      </c>
      <c r="D71" t="s">
        <v>46</v>
      </c>
      <c r="E71" t="s">
        <v>14</v>
      </c>
      <c r="F71">
        <v>311</v>
      </c>
      <c r="G71">
        <v>263</v>
      </c>
      <c r="H71">
        <v>48</v>
      </c>
      <c r="I71" t="s">
        <v>24</v>
      </c>
      <c r="J71">
        <v>22</v>
      </c>
      <c r="K71" t="s">
        <v>16</v>
      </c>
    </row>
    <row r="72" spans="1:11" x14ac:dyDescent="0.3">
      <c r="A72" t="s">
        <v>107</v>
      </c>
      <c r="B72" s="4">
        <v>44958.306532663308</v>
      </c>
      <c r="C72" t="s">
        <v>26</v>
      </c>
      <c r="D72" t="s">
        <v>19</v>
      </c>
      <c r="E72" t="s">
        <v>47</v>
      </c>
      <c r="F72">
        <v>351</v>
      </c>
      <c r="G72">
        <v>282</v>
      </c>
      <c r="H72">
        <v>69</v>
      </c>
      <c r="I72" t="s">
        <v>29</v>
      </c>
      <c r="J72">
        <v>43</v>
      </c>
      <c r="K72" t="s">
        <v>21</v>
      </c>
    </row>
    <row r="73" spans="1:11" x14ac:dyDescent="0.3">
      <c r="A73" t="s">
        <v>108</v>
      </c>
      <c r="B73" s="4">
        <v>44958.75376884421</v>
      </c>
      <c r="C73" t="s">
        <v>34</v>
      </c>
      <c r="D73" t="s">
        <v>46</v>
      </c>
      <c r="E73" t="s">
        <v>20</v>
      </c>
      <c r="F73">
        <v>1145</v>
      </c>
      <c r="G73">
        <v>26</v>
      </c>
      <c r="H73">
        <v>1119</v>
      </c>
      <c r="I73" t="s">
        <v>41</v>
      </c>
      <c r="J73">
        <v>40</v>
      </c>
      <c r="K73" t="s">
        <v>16</v>
      </c>
    </row>
    <row r="74" spans="1:11" x14ac:dyDescent="0.3">
      <c r="A74" t="s">
        <v>109</v>
      </c>
      <c r="B74" s="4">
        <v>44959.201005025119</v>
      </c>
      <c r="C74" t="s">
        <v>34</v>
      </c>
      <c r="D74" t="s">
        <v>27</v>
      </c>
      <c r="E74" t="s">
        <v>20</v>
      </c>
      <c r="F74">
        <v>419</v>
      </c>
      <c r="G74">
        <v>225</v>
      </c>
      <c r="H74">
        <v>194</v>
      </c>
      <c r="I74" t="s">
        <v>24</v>
      </c>
      <c r="J74">
        <v>24</v>
      </c>
      <c r="K74" t="s">
        <v>16</v>
      </c>
    </row>
    <row r="75" spans="1:11" x14ac:dyDescent="0.3">
      <c r="A75" t="s">
        <v>110</v>
      </c>
      <c r="B75" s="4">
        <v>44959.648241206029</v>
      </c>
      <c r="C75" t="s">
        <v>23</v>
      </c>
      <c r="D75" t="s">
        <v>19</v>
      </c>
      <c r="E75" t="s">
        <v>35</v>
      </c>
      <c r="F75">
        <v>965</v>
      </c>
      <c r="G75">
        <v>276</v>
      </c>
      <c r="H75">
        <v>689</v>
      </c>
      <c r="I75" t="s">
        <v>24</v>
      </c>
      <c r="J75">
        <v>40</v>
      </c>
      <c r="K75" t="s">
        <v>16</v>
      </c>
    </row>
    <row r="76" spans="1:11" x14ac:dyDescent="0.3">
      <c r="A76" t="s">
        <v>111</v>
      </c>
      <c r="B76" s="4">
        <v>44960.095477386931</v>
      </c>
      <c r="C76" t="s">
        <v>12</v>
      </c>
      <c r="D76" t="s">
        <v>52</v>
      </c>
      <c r="E76" t="s">
        <v>31</v>
      </c>
      <c r="F76">
        <v>1444</v>
      </c>
      <c r="G76">
        <v>285</v>
      </c>
      <c r="H76">
        <v>1159</v>
      </c>
      <c r="I76" t="s">
        <v>41</v>
      </c>
      <c r="J76">
        <v>48</v>
      </c>
      <c r="K76" t="s">
        <v>16</v>
      </c>
    </row>
    <row r="77" spans="1:11" x14ac:dyDescent="0.3">
      <c r="A77" t="s">
        <v>112</v>
      </c>
      <c r="B77" s="4">
        <v>44960.542713567833</v>
      </c>
      <c r="C77" t="s">
        <v>38</v>
      </c>
      <c r="D77" t="s">
        <v>52</v>
      </c>
      <c r="E77" t="s">
        <v>35</v>
      </c>
      <c r="F77">
        <v>605</v>
      </c>
      <c r="G77">
        <v>96</v>
      </c>
      <c r="H77">
        <v>509</v>
      </c>
      <c r="I77" t="s">
        <v>15</v>
      </c>
      <c r="J77">
        <v>65</v>
      </c>
      <c r="K77" t="s">
        <v>16</v>
      </c>
    </row>
    <row r="78" spans="1:11" x14ac:dyDescent="0.3">
      <c r="A78" t="s">
        <v>113</v>
      </c>
      <c r="B78" s="4">
        <v>44960.989949748728</v>
      </c>
      <c r="C78" t="s">
        <v>34</v>
      </c>
      <c r="D78" t="s">
        <v>46</v>
      </c>
      <c r="E78" t="s">
        <v>31</v>
      </c>
      <c r="F78">
        <v>1425</v>
      </c>
      <c r="G78">
        <v>283</v>
      </c>
      <c r="H78">
        <v>1142</v>
      </c>
      <c r="I78" t="s">
        <v>15</v>
      </c>
      <c r="J78">
        <v>55</v>
      </c>
      <c r="K78" t="s">
        <v>21</v>
      </c>
    </row>
    <row r="79" spans="1:11" x14ac:dyDescent="0.3">
      <c r="A79" t="s">
        <v>114</v>
      </c>
      <c r="B79" s="4">
        <v>44961.437185929637</v>
      </c>
      <c r="C79" t="s">
        <v>38</v>
      </c>
      <c r="D79" t="s">
        <v>27</v>
      </c>
      <c r="E79" t="s">
        <v>31</v>
      </c>
      <c r="F79">
        <v>1166</v>
      </c>
      <c r="G79">
        <v>146</v>
      </c>
      <c r="H79">
        <v>1020</v>
      </c>
      <c r="I79" t="s">
        <v>29</v>
      </c>
      <c r="J79">
        <v>21</v>
      </c>
      <c r="K79" t="s">
        <v>21</v>
      </c>
    </row>
    <row r="80" spans="1:11" x14ac:dyDescent="0.3">
      <c r="A80" t="s">
        <v>115</v>
      </c>
      <c r="B80" s="4">
        <v>44961.884422110546</v>
      </c>
      <c r="C80" t="s">
        <v>23</v>
      </c>
      <c r="D80" t="s">
        <v>46</v>
      </c>
      <c r="E80" t="s">
        <v>20</v>
      </c>
      <c r="F80">
        <v>445</v>
      </c>
      <c r="G80">
        <v>3</v>
      </c>
      <c r="H80">
        <v>442</v>
      </c>
      <c r="I80" t="s">
        <v>24</v>
      </c>
      <c r="J80">
        <v>18</v>
      </c>
      <c r="K80" t="s">
        <v>16</v>
      </c>
    </row>
    <row r="81" spans="1:11" x14ac:dyDescent="0.3">
      <c r="A81" t="s">
        <v>116</v>
      </c>
      <c r="B81" s="4">
        <v>44962.331658291449</v>
      </c>
      <c r="C81" t="s">
        <v>26</v>
      </c>
      <c r="D81" t="s">
        <v>13</v>
      </c>
      <c r="E81" t="s">
        <v>47</v>
      </c>
      <c r="F81">
        <v>869</v>
      </c>
      <c r="G81">
        <v>34</v>
      </c>
      <c r="H81">
        <v>835</v>
      </c>
      <c r="I81" t="s">
        <v>29</v>
      </c>
      <c r="J81">
        <v>72</v>
      </c>
      <c r="K81" t="s">
        <v>16</v>
      </c>
    </row>
    <row r="82" spans="1:11" x14ac:dyDescent="0.3">
      <c r="A82" t="s">
        <v>117</v>
      </c>
      <c r="B82" s="4">
        <v>44962.778894472358</v>
      </c>
      <c r="C82" t="s">
        <v>43</v>
      </c>
      <c r="D82" t="s">
        <v>13</v>
      </c>
      <c r="E82" t="s">
        <v>47</v>
      </c>
      <c r="F82">
        <v>487</v>
      </c>
      <c r="G82">
        <v>191</v>
      </c>
      <c r="H82">
        <v>296</v>
      </c>
      <c r="I82" t="s">
        <v>24</v>
      </c>
      <c r="J82">
        <v>67</v>
      </c>
      <c r="K82" t="s">
        <v>16</v>
      </c>
    </row>
    <row r="83" spans="1:11" x14ac:dyDescent="0.3">
      <c r="A83" t="s">
        <v>118</v>
      </c>
      <c r="B83" s="4">
        <v>44963.226130653267</v>
      </c>
      <c r="C83" t="s">
        <v>23</v>
      </c>
      <c r="D83" t="s">
        <v>27</v>
      </c>
      <c r="E83" t="s">
        <v>14</v>
      </c>
      <c r="F83">
        <v>1028</v>
      </c>
      <c r="G83">
        <v>48</v>
      </c>
      <c r="H83">
        <v>980</v>
      </c>
      <c r="I83" t="s">
        <v>41</v>
      </c>
      <c r="J83">
        <v>64</v>
      </c>
      <c r="K83" t="s">
        <v>16</v>
      </c>
    </row>
    <row r="84" spans="1:11" x14ac:dyDescent="0.3">
      <c r="A84" t="s">
        <v>119</v>
      </c>
      <c r="B84" s="4">
        <v>44963.673366834169</v>
      </c>
      <c r="C84" t="s">
        <v>43</v>
      </c>
      <c r="D84" t="s">
        <v>56</v>
      </c>
      <c r="E84" t="s">
        <v>35</v>
      </c>
      <c r="F84">
        <v>1226</v>
      </c>
      <c r="G84">
        <v>16</v>
      </c>
      <c r="H84">
        <v>1210</v>
      </c>
      <c r="I84" t="s">
        <v>24</v>
      </c>
      <c r="J84">
        <v>59</v>
      </c>
      <c r="K84" t="s">
        <v>16</v>
      </c>
    </row>
    <row r="85" spans="1:11" x14ac:dyDescent="0.3">
      <c r="A85" t="s">
        <v>120</v>
      </c>
      <c r="B85" s="4">
        <v>44964.120603015072</v>
      </c>
      <c r="C85" t="s">
        <v>34</v>
      </c>
      <c r="D85" t="s">
        <v>56</v>
      </c>
      <c r="E85" t="s">
        <v>47</v>
      </c>
      <c r="F85">
        <v>941</v>
      </c>
      <c r="G85">
        <v>171</v>
      </c>
      <c r="H85">
        <v>770</v>
      </c>
      <c r="I85" t="s">
        <v>24</v>
      </c>
      <c r="J85">
        <v>25</v>
      </c>
      <c r="K85" t="s">
        <v>21</v>
      </c>
    </row>
    <row r="86" spans="1:11" x14ac:dyDescent="0.3">
      <c r="A86" t="s">
        <v>121</v>
      </c>
      <c r="B86" s="4">
        <v>44964.567839195966</v>
      </c>
      <c r="C86" t="s">
        <v>38</v>
      </c>
      <c r="D86" t="s">
        <v>13</v>
      </c>
      <c r="E86" t="s">
        <v>28</v>
      </c>
      <c r="F86">
        <v>366</v>
      </c>
      <c r="G86">
        <v>219</v>
      </c>
      <c r="H86">
        <v>147</v>
      </c>
      <c r="I86" t="s">
        <v>41</v>
      </c>
      <c r="J86">
        <v>43</v>
      </c>
      <c r="K86" t="s">
        <v>16</v>
      </c>
    </row>
    <row r="87" spans="1:11" x14ac:dyDescent="0.3">
      <c r="A87" t="s">
        <v>122</v>
      </c>
      <c r="B87" s="4">
        <v>44965.015075376883</v>
      </c>
      <c r="C87" t="s">
        <v>26</v>
      </c>
      <c r="D87" t="s">
        <v>13</v>
      </c>
      <c r="E87" t="s">
        <v>14</v>
      </c>
      <c r="F87">
        <v>913</v>
      </c>
      <c r="G87">
        <v>157</v>
      </c>
      <c r="H87">
        <v>756</v>
      </c>
      <c r="I87" t="s">
        <v>15</v>
      </c>
      <c r="J87">
        <v>70</v>
      </c>
      <c r="K87" t="s">
        <v>21</v>
      </c>
    </row>
    <row r="88" spans="1:11" x14ac:dyDescent="0.3">
      <c r="A88" t="s">
        <v>123</v>
      </c>
      <c r="B88" s="4">
        <v>44965.462311557778</v>
      </c>
      <c r="C88" t="s">
        <v>34</v>
      </c>
      <c r="D88" t="s">
        <v>56</v>
      </c>
      <c r="E88" t="s">
        <v>14</v>
      </c>
      <c r="F88">
        <v>337</v>
      </c>
      <c r="G88">
        <v>45</v>
      </c>
      <c r="H88">
        <v>292</v>
      </c>
      <c r="I88" t="s">
        <v>41</v>
      </c>
      <c r="J88">
        <v>50</v>
      </c>
      <c r="K88" t="s">
        <v>16</v>
      </c>
    </row>
    <row r="89" spans="1:11" x14ac:dyDescent="0.3">
      <c r="A89" t="s">
        <v>124</v>
      </c>
      <c r="B89" s="4">
        <v>44965.909547738687</v>
      </c>
      <c r="C89" t="s">
        <v>43</v>
      </c>
      <c r="D89" t="s">
        <v>19</v>
      </c>
      <c r="E89" t="s">
        <v>20</v>
      </c>
      <c r="F89">
        <v>529</v>
      </c>
      <c r="G89">
        <v>5</v>
      </c>
      <c r="H89">
        <v>524</v>
      </c>
      <c r="I89" t="s">
        <v>24</v>
      </c>
      <c r="J89">
        <v>39</v>
      </c>
      <c r="K89" t="s">
        <v>16</v>
      </c>
    </row>
    <row r="90" spans="1:11" x14ac:dyDescent="0.3">
      <c r="A90" t="s">
        <v>125</v>
      </c>
      <c r="B90" s="4">
        <v>44966.356783919597</v>
      </c>
      <c r="C90" t="s">
        <v>18</v>
      </c>
      <c r="D90" t="s">
        <v>56</v>
      </c>
      <c r="E90" t="s">
        <v>35</v>
      </c>
      <c r="F90">
        <v>642</v>
      </c>
      <c r="G90">
        <v>98</v>
      </c>
      <c r="H90">
        <v>544</v>
      </c>
      <c r="I90" t="s">
        <v>41</v>
      </c>
      <c r="J90">
        <v>35</v>
      </c>
      <c r="K90" t="s">
        <v>16</v>
      </c>
    </row>
    <row r="91" spans="1:11" x14ac:dyDescent="0.3">
      <c r="A91" t="s">
        <v>126</v>
      </c>
      <c r="B91" s="4">
        <v>44966.804020100499</v>
      </c>
      <c r="C91" t="s">
        <v>18</v>
      </c>
      <c r="D91" t="s">
        <v>46</v>
      </c>
      <c r="E91" t="s">
        <v>47</v>
      </c>
      <c r="F91">
        <v>1214</v>
      </c>
      <c r="G91">
        <v>232</v>
      </c>
      <c r="H91">
        <v>982</v>
      </c>
      <c r="I91" t="s">
        <v>24</v>
      </c>
      <c r="J91">
        <v>71</v>
      </c>
      <c r="K91" t="s">
        <v>21</v>
      </c>
    </row>
    <row r="92" spans="1:11" x14ac:dyDescent="0.3">
      <c r="A92" t="s">
        <v>127</v>
      </c>
      <c r="B92" s="4">
        <v>44967.251256281401</v>
      </c>
      <c r="C92" t="s">
        <v>18</v>
      </c>
      <c r="D92" t="s">
        <v>19</v>
      </c>
      <c r="E92" t="s">
        <v>47</v>
      </c>
      <c r="F92">
        <v>1330</v>
      </c>
      <c r="G92">
        <v>36</v>
      </c>
      <c r="H92">
        <v>1294</v>
      </c>
      <c r="I92" t="s">
        <v>15</v>
      </c>
      <c r="J92">
        <v>50</v>
      </c>
      <c r="K92" t="s">
        <v>16</v>
      </c>
    </row>
    <row r="93" spans="1:11" x14ac:dyDescent="0.3">
      <c r="A93" t="s">
        <v>128</v>
      </c>
      <c r="B93" s="4">
        <v>44967.698492462303</v>
      </c>
      <c r="C93" t="s">
        <v>12</v>
      </c>
      <c r="D93" t="s">
        <v>46</v>
      </c>
      <c r="E93" t="s">
        <v>31</v>
      </c>
      <c r="F93">
        <v>164</v>
      </c>
      <c r="G93">
        <v>279</v>
      </c>
      <c r="H93">
        <v>-115</v>
      </c>
      <c r="I93" t="s">
        <v>15</v>
      </c>
      <c r="J93">
        <v>24</v>
      </c>
      <c r="K93" t="s">
        <v>21</v>
      </c>
    </row>
    <row r="94" spans="1:11" x14ac:dyDescent="0.3">
      <c r="A94" t="s">
        <v>129</v>
      </c>
      <c r="B94" s="4">
        <v>44968.145728643212</v>
      </c>
      <c r="C94" t="s">
        <v>54</v>
      </c>
      <c r="D94" t="s">
        <v>13</v>
      </c>
      <c r="E94" t="s">
        <v>14</v>
      </c>
      <c r="F94">
        <v>214</v>
      </c>
      <c r="G94">
        <v>180</v>
      </c>
      <c r="H94">
        <v>34</v>
      </c>
      <c r="I94" t="s">
        <v>24</v>
      </c>
      <c r="J94">
        <v>51</v>
      </c>
      <c r="K94" t="s">
        <v>16</v>
      </c>
    </row>
    <row r="95" spans="1:11" x14ac:dyDescent="0.3">
      <c r="A95" t="s">
        <v>130</v>
      </c>
      <c r="B95" s="4">
        <v>44968.592964824122</v>
      </c>
      <c r="C95" t="s">
        <v>38</v>
      </c>
      <c r="D95" t="s">
        <v>19</v>
      </c>
      <c r="E95" t="s">
        <v>35</v>
      </c>
      <c r="F95">
        <v>670</v>
      </c>
      <c r="G95">
        <v>94</v>
      </c>
      <c r="H95">
        <v>576</v>
      </c>
      <c r="I95" t="s">
        <v>15</v>
      </c>
      <c r="J95">
        <v>23</v>
      </c>
      <c r="K95" t="s">
        <v>16</v>
      </c>
    </row>
    <row r="96" spans="1:11" x14ac:dyDescent="0.3">
      <c r="A96" t="s">
        <v>131</v>
      </c>
      <c r="B96" s="4">
        <v>44969.040201005017</v>
      </c>
      <c r="C96" t="s">
        <v>18</v>
      </c>
      <c r="D96" t="s">
        <v>46</v>
      </c>
      <c r="E96" t="s">
        <v>35</v>
      </c>
      <c r="F96">
        <v>1302</v>
      </c>
      <c r="G96">
        <v>98</v>
      </c>
      <c r="H96">
        <v>1204</v>
      </c>
      <c r="I96" t="s">
        <v>41</v>
      </c>
      <c r="J96">
        <v>38</v>
      </c>
      <c r="K96" t="s">
        <v>21</v>
      </c>
    </row>
    <row r="97" spans="1:11" x14ac:dyDescent="0.3">
      <c r="A97" t="s">
        <v>132</v>
      </c>
      <c r="B97" s="4">
        <v>44969.487437185933</v>
      </c>
      <c r="C97" t="s">
        <v>38</v>
      </c>
      <c r="D97" t="s">
        <v>46</v>
      </c>
      <c r="E97" t="s">
        <v>35</v>
      </c>
      <c r="F97">
        <v>797</v>
      </c>
      <c r="G97">
        <v>187</v>
      </c>
      <c r="H97">
        <v>610</v>
      </c>
      <c r="I97" t="s">
        <v>15</v>
      </c>
      <c r="J97">
        <v>49</v>
      </c>
      <c r="K97" t="s">
        <v>21</v>
      </c>
    </row>
    <row r="98" spans="1:11" x14ac:dyDescent="0.3">
      <c r="A98" t="s">
        <v>133</v>
      </c>
      <c r="B98" s="4">
        <v>44969.934673366828</v>
      </c>
      <c r="C98" t="s">
        <v>34</v>
      </c>
      <c r="D98" t="s">
        <v>19</v>
      </c>
      <c r="E98" t="s">
        <v>31</v>
      </c>
      <c r="F98">
        <v>1236</v>
      </c>
      <c r="G98">
        <v>115</v>
      </c>
      <c r="H98">
        <v>1121</v>
      </c>
      <c r="I98" t="s">
        <v>29</v>
      </c>
      <c r="J98">
        <v>63</v>
      </c>
      <c r="K98" t="s">
        <v>16</v>
      </c>
    </row>
    <row r="99" spans="1:11" x14ac:dyDescent="0.3">
      <c r="A99" t="s">
        <v>134</v>
      </c>
      <c r="B99" s="4">
        <v>44970.38190954773</v>
      </c>
      <c r="C99" t="s">
        <v>43</v>
      </c>
      <c r="D99" t="s">
        <v>27</v>
      </c>
      <c r="E99" t="s">
        <v>20</v>
      </c>
      <c r="F99">
        <v>1312</v>
      </c>
      <c r="G99">
        <v>190</v>
      </c>
      <c r="H99">
        <v>1122</v>
      </c>
      <c r="I99" t="s">
        <v>15</v>
      </c>
      <c r="J99">
        <v>49</v>
      </c>
      <c r="K99" t="s">
        <v>16</v>
      </c>
    </row>
    <row r="100" spans="1:11" x14ac:dyDescent="0.3">
      <c r="A100" t="s">
        <v>135</v>
      </c>
      <c r="B100" s="4">
        <v>44970.829145728632</v>
      </c>
      <c r="C100" t="s">
        <v>34</v>
      </c>
      <c r="D100" t="s">
        <v>56</v>
      </c>
      <c r="E100" t="s">
        <v>47</v>
      </c>
      <c r="F100">
        <v>742</v>
      </c>
      <c r="G100">
        <v>252</v>
      </c>
      <c r="H100">
        <v>490</v>
      </c>
      <c r="I100" t="s">
        <v>29</v>
      </c>
      <c r="J100">
        <v>62</v>
      </c>
      <c r="K100" t="s">
        <v>16</v>
      </c>
    </row>
    <row r="101" spans="1:11" x14ac:dyDescent="0.3">
      <c r="A101" t="s">
        <v>136</v>
      </c>
      <c r="B101" s="4">
        <v>44971.276381909527</v>
      </c>
      <c r="C101" t="s">
        <v>54</v>
      </c>
      <c r="D101" t="s">
        <v>52</v>
      </c>
      <c r="E101" t="s">
        <v>35</v>
      </c>
      <c r="F101">
        <v>541</v>
      </c>
      <c r="G101">
        <v>160</v>
      </c>
      <c r="H101">
        <v>381</v>
      </c>
      <c r="I101" t="s">
        <v>41</v>
      </c>
      <c r="J101">
        <v>50</v>
      </c>
      <c r="K101" t="s">
        <v>21</v>
      </c>
    </row>
    <row r="102" spans="1:11" x14ac:dyDescent="0.3">
      <c r="A102" t="s">
        <v>137</v>
      </c>
      <c r="B102" s="4">
        <v>44971.723618090451</v>
      </c>
      <c r="C102" t="s">
        <v>18</v>
      </c>
      <c r="D102" t="s">
        <v>46</v>
      </c>
      <c r="E102" t="s">
        <v>31</v>
      </c>
      <c r="F102">
        <v>568</v>
      </c>
      <c r="G102">
        <v>255</v>
      </c>
      <c r="H102">
        <v>313</v>
      </c>
      <c r="I102" t="s">
        <v>15</v>
      </c>
      <c r="J102">
        <v>32</v>
      </c>
      <c r="K102" t="s">
        <v>21</v>
      </c>
    </row>
    <row r="103" spans="1:11" x14ac:dyDescent="0.3">
      <c r="A103" t="s">
        <v>138</v>
      </c>
      <c r="B103" s="4">
        <v>44972.170854271353</v>
      </c>
      <c r="C103" t="s">
        <v>12</v>
      </c>
      <c r="D103" t="s">
        <v>56</v>
      </c>
      <c r="E103" t="s">
        <v>20</v>
      </c>
      <c r="F103">
        <v>438</v>
      </c>
      <c r="G103">
        <v>127</v>
      </c>
      <c r="H103">
        <v>311</v>
      </c>
      <c r="I103" t="s">
        <v>15</v>
      </c>
      <c r="J103">
        <v>63</v>
      </c>
      <c r="K103" t="s">
        <v>16</v>
      </c>
    </row>
    <row r="104" spans="1:11" x14ac:dyDescent="0.3">
      <c r="A104" t="s">
        <v>139</v>
      </c>
      <c r="B104" s="4">
        <v>44972.618090452263</v>
      </c>
      <c r="C104" t="s">
        <v>12</v>
      </c>
      <c r="D104" t="s">
        <v>52</v>
      </c>
      <c r="E104" t="s">
        <v>31</v>
      </c>
      <c r="F104">
        <v>528</v>
      </c>
      <c r="G104">
        <v>17</v>
      </c>
      <c r="H104">
        <v>511</v>
      </c>
      <c r="I104" t="s">
        <v>15</v>
      </c>
      <c r="J104">
        <v>53</v>
      </c>
      <c r="K104" t="s">
        <v>21</v>
      </c>
    </row>
    <row r="105" spans="1:11" x14ac:dyDescent="0.3">
      <c r="A105" t="s">
        <v>140</v>
      </c>
      <c r="B105" s="4">
        <v>44973.065326633157</v>
      </c>
      <c r="C105" t="s">
        <v>43</v>
      </c>
      <c r="D105" t="s">
        <v>56</v>
      </c>
      <c r="E105" t="s">
        <v>28</v>
      </c>
      <c r="F105">
        <v>380</v>
      </c>
      <c r="G105">
        <v>280</v>
      </c>
      <c r="H105">
        <v>100</v>
      </c>
      <c r="I105" t="s">
        <v>41</v>
      </c>
      <c r="J105">
        <v>46</v>
      </c>
      <c r="K105" t="s">
        <v>16</v>
      </c>
    </row>
    <row r="106" spans="1:11" x14ac:dyDescent="0.3">
      <c r="A106" t="s">
        <v>141</v>
      </c>
      <c r="B106" s="4">
        <v>44973.512562814059</v>
      </c>
      <c r="C106" t="s">
        <v>23</v>
      </c>
      <c r="D106" t="s">
        <v>13</v>
      </c>
      <c r="E106" t="s">
        <v>14</v>
      </c>
      <c r="F106">
        <v>1167</v>
      </c>
      <c r="G106">
        <v>222</v>
      </c>
      <c r="H106">
        <v>945</v>
      </c>
      <c r="I106" t="s">
        <v>41</v>
      </c>
      <c r="J106">
        <v>38</v>
      </c>
      <c r="K106" t="s">
        <v>16</v>
      </c>
    </row>
    <row r="107" spans="1:11" x14ac:dyDescent="0.3">
      <c r="A107" t="s">
        <v>142</v>
      </c>
      <c r="B107" s="4">
        <v>44973.959798994969</v>
      </c>
      <c r="C107" t="s">
        <v>12</v>
      </c>
      <c r="D107" t="s">
        <v>52</v>
      </c>
      <c r="E107" t="s">
        <v>47</v>
      </c>
      <c r="F107">
        <v>190</v>
      </c>
      <c r="G107">
        <v>53</v>
      </c>
      <c r="H107">
        <v>137</v>
      </c>
      <c r="I107" t="s">
        <v>29</v>
      </c>
      <c r="J107">
        <v>37</v>
      </c>
      <c r="K107" t="s">
        <v>16</v>
      </c>
    </row>
    <row r="108" spans="1:11" x14ac:dyDescent="0.3">
      <c r="A108" t="s">
        <v>143</v>
      </c>
      <c r="B108" s="4">
        <v>44974.407035175871</v>
      </c>
      <c r="C108" t="s">
        <v>18</v>
      </c>
      <c r="D108" t="s">
        <v>56</v>
      </c>
      <c r="E108" t="s">
        <v>31</v>
      </c>
      <c r="F108">
        <v>1201</v>
      </c>
      <c r="G108">
        <v>57</v>
      </c>
      <c r="H108">
        <v>1144</v>
      </c>
      <c r="I108" t="s">
        <v>24</v>
      </c>
      <c r="J108">
        <v>46</v>
      </c>
      <c r="K108" t="s">
        <v>21</v>
      </c>
    </row>
    <row r="109" spans="1:11" x14ac:dyDescent="0.3">
      <c r="A109" t="s">
        <v>144</v>
      </c>
      <c r="B109" s="4">
        <v>44974.85427135678</v>
      </c>
      <c r="C109" t="s">
        <v>38</v>
      </c>
      <c r="D109" t="s">
        <v>46</v>
      </c>
      <c r="E109" t="s">
        <v>31</v>
      </c>
      <c r="F109">
        <v>284</v>
      </c>
      <c r="G109">
        <v>173</v>
      </c>
      <c r="H109">
        <v>111</v>
      </c>
      <c r="I109" t="s">
        <v>41</v>
      </c>
      <c r="J109">
        <v>51</v>
      </c>
      <c r="K109" t="s">
        <v>21</v>
      </c>
    </row>
    <row r="110" spans="1:11" x14ac:dyDescent="0.3">
      <c r="A110" t="s">
        <v>145</v>
      </c>
      <c r="B110" s="4">
        <v>44975.301507537682</v>
      </c>
      <c r="C110" t="s">
        <v>38</v>
      </c>
      <c r="D110" t="s">
        <v>52</v>
      </c>
      <c r="E110" t="s">
        <v>47</v>
      </c>
      <c r="F110">
        <v>350</v>
      </c>
      <c r="G110">
        <v>279</v>
      </c>
      <c r="H110">
        <v>71</v>
      </c>
      <c r="I110" t="s">
        <v>15</v>
      </c>
      <c r="J110">
        <v>26</v>
      </c>
      <c r="K110" t="s">
        <v>21</v>
      </c>
    </row>
    <row r="111" spans="1:11" x14ac:dyDescent="0.3">
      <c r="A111" t="s">
        <v>146</v>
      </c>
      <c r="B111" s="4">
        <v>44975.748743718577</v>
      </c>
      <c r="C111" t="s">
        <v>34</v>
      </c>
      <c r="D111" t="s">
        <v>13</v>
      </c>
      <c r="E111" t="s">
        <v>14</v>
      </c>
      <c r="F111">
        <v>929</v>
      </c>
      <c r="G111">
        <v>113</v>
      </c>
      <c r="H111">
        <v>816</v>
      </c>
      <c r="I111" t="s">
        <v>29</v>
      </c>
      <c r="J111">
        <v>63</v>
      </c>
      <c r="K111" t="s">
        <v>21</v>
      </c>
    </row>
    <row r="112" spans="1:11" x14ac:dyDescent="0.3">
      <c r="A112" t="s">
        <v>147</v>
      </c>
      <c r="B112" s="4">
        <v>44976.195979899487</v>
      </c>
      <c r="C112" t="s">
        <v>34</v>
      </c>
      <c r="D112" t="s">
        <v>19</v>
      </c>
      <c r="E112" t="s">
        <v>28</v>
      </c>
      <c r="F112">
        <v>1079</v>
      </c>
      <c r="G112">
        <v>287</v>
      </c>
      <c r="H112">
        <v>792</v>
      </c>
      <c r="I112" t="s">
        <v>15</v>
      </c>
      <c r="J112">
        <v>69</v>
      </c>
      <c r="K112" t="s">
        <v>16</v>
      </c>
    </row>
    <row r="113" spans="1:11" x14ac:dyDescent="0.3">
      <c r="A113" t="s">
        <v>148</v>
      </c>
      <c r="B113" s="4">
        <v>44976.643216080403</v>
      </c>
      <c r="C113" t="s">
        <v>23</v>
      </c>
      <c r="D113" t="s">
        <v>46</v>
      </c>
      <c r="E113" t="s">
        <v>20</v>
      </c>
      <c r="F113">
        <v>1206</v>
      </c>
      <c r="G113">
        <v>150</v>
      </c>
      <c r="H113">
        <v>1056</v>
      </c>
      <c r="I113" t="s">
        <v>15</v>
      </c>
      <c r="J113">
        <v>27</v>
      </c>
      <c r="K113" t="s">
        <v>21</v>
      </c>
    </row>
    <row r="114" spans="1:11" x14ac:dyDescent="0.3">
      <c r="A114" t="s">
        <v>149</v>
      </c>
      <c r="B114" s="4">
        <v>44977.090452261298</v>
      </c>
      <c r="C114" t="s">
        <v>43</v>
      </c>
      <c r="D114" t="s">
        <v>13</v>
      </c>
      <c r="E114" t="s">
        <v>31</v>
      </c>
      <c r="F114">
        <v>1221</v>
      </c>
      <c r="G114">
        <v>126</v>
      </c>
      <c r="H114">
        <v>1095</v>
      </c>
      <c r="I114" t="s">
        <v>41</v>
      </c>
      <c r="J114">
        <v>37</v>
      </c>
      <c r="K114" t="s">
        <v>16</v>
      </c>
    </row>
    <row r="115" spans="1:11" x14ac:dyDescent="0.3">
      <c r="A115" t="s">
        <v>150</v>
      </c>
      <c r="B115" s="4">
        <v>44977.537688442208</v>
      </c>
      <c r="C115" t="s">
        <v>26</v>
      </c>
      <c r="D115" t="s">
        <v>13</v>
      </c>
      <c r="E115" t="s">
        <v>14</v>
      </c>
      <c r="F115">
        <v>652</v>
      </c>
      <c r="G115">
        <v>154</v>
      </c>
      <c r="H115">
        <v>498</v>
      </c>
      <c r="I115" t="s">
        <v>24</v>
      </c>
      <c r="J115">
        <v>39</v>
      </c>
      <c r="K115" t="s">
        <v>21</v>
      </c>
    </row>
    <row r="116" spans="1:11" x14ac:dyDescent="0.3">
      <c r="A116" t="s">
        <v>151</v>
      </c>
      <c r="B116" s="4">
        <v>44977.984924623117</v>
      </c>
      <c r="C116" t="s">
        <v>34</v>
      </c>
      <c r="D116" t="s">
        <v>52</v>
      </c>
      <c r="E116" t="s">
        <v>20</v>
      </c>
      <c r="F116">
        <v>556</v>
      </c>
      <c r="G116">
        <v>272</v>
      </c>
      <c r="H116">
        <v>284</v>
      </c>
      <c r="I116" t="s">
        <v>15</v>
      </c>
      <c r="J116">
        <v>49</v>
      </c>
      <c r="K116" t="s">
        <v>21</v>
      </c>
    </row>
    <row r="117" spans="1:11" x14ac:dyDescent="0.3">
      <c r="A117" t="s">
        <v>152</v>
      </c>
      <c r="B117" s="4">
        <v>44978.432160804019</v>
      </c>
      <c r="C117" t="s">
        <v>54</v>
      </c>
      <c r="D117" t="s">
        <v>56</v>
      </c>
      <c r="E117" t="s">
        <v>20</v>
      </c>
      <c r="F117">
        <v>954</v>
      </c>
      <c r="G117">
        <v>103</v>
      </c>
      <c r="H117">
        <v>851</v>
      </c>
      <c r="I117" t="s">
        <v>41</v>
      </c>
      <c r="J117">
        <v>55</v>
      </c>
      <c r="K117" t="s">
        <v>21</v>
      </c>
    </row>
    <row r="118" spans="1:11" x14ac:dyDescent="0.3">
      <c r="A118" t="s">
        <v>153</v>
      </c>
      <c r="B118" s="4">
        <v>44978.879396984921</v>
      </c>
      <c r="C118" t="s">
        <v>23</v>
      </c>
      <c r="D118" t="s">
        <v>19</v>
      </c>
      <c r="E118" t="s">
        <v>20</v>
      </c>
      <c r="F118">
        <v>248</v>
      </c>
      <c r="G118">
        <v>298</v>
      </c>
      <c r="H118">
        <v>-50</v>
      </c>
      <c r="I118" t="s">
        <v>29</v>
      </c>
      <c r="J118">
        <v>44</v>
      </c>
      <c r="K118" t="s">
        <v>16</v>
      </c>
    </row>
    <row r="119" spans="1:11" x14ac:dyDescent="0.3">
      <c r="A119" t="s">
        <v>154</v>
      </c>
      <c r="B119" s="4">
        <v>44979.326633165823</v>
      </c>
      <c r="C119" t="s">
        <v>12</v>
      </c>
      <c r="D119" t="s">
        <v>46</v>
      </c>
      <c r="E119" t="s">
        <v>28</v>
      </c>
      <c r="F119">
        <v>833</v>
      </c>
      <c r="G119">
        <v>245</v>
      </c>
      <c r="H119">
        <v>588</v>
      </c>
      <c r="I119" t="s">
        <v>15</v>
      </c>
      <c r="J119">
        <v>31</v>
      </c>
      <c r="K119" t="s">
        <v>21</v>
      </c>
    </row>
    <row r="120" spans="1:11" x14ac:dyDescent="0.3">
      <c r="A120" t="s">
        <v>155</v>
      </c>
      <c r="B120" s="4">
        <v>44979.773869346733</v>
      </c>
      <c r="C120" t="s">
        <v>43</v>
      </c>
      <c r="D120" t="s">
        <v>46</v>
      </c>
      <c r="E120" t="s">
        <v>28</v>
      </c>
      <c r="F120">
        <v>875</v>
      </c>
      <c r="G120">
        <v>175</v>
      </c>
      <c r="H120">
        <v>700</v>
      </c>
      <c r="I120" t="s">
        <v>29</v>
      </c>
      <c r="J120">
        <v>63</v>
      </c>
      <c r="K120" t="s">
        <v>21</v>
      </c>
    </row>
    <row r="121" spans="1:11" x14ac:dyDescent="0.3">
      <c r="A121" t="s">
        <v>156</v>
      </c>
      <c r="B121" s="4">
        <v>44980.221105527628</v>
      </c>
      <c r="C121" t="s">
        <v>26</v>
      </c>
      <c r="D121" t="s">
        <v>56</v>
      </c>
      <c r="E121" t="s">
        <v>20</v>
      </c>
      <c r="F121">
        <v>1110</v>
      </c>
      <c r="G121">
        <v>38</v>
      </c>
      <c r="H121">
        <v>1072</v>
      </c>
      <c r="I121" t="s">
        <v>41</v>
      </c>
      <c r="J121">
        <v>34</v>
      </c>
      <c r="K121" t="s">
        <v>16</v>
      </c>
    </row>
    <row r="122" spans="1:11" x14ac:dyDescent="0.3">
      <c r="A122" t="s">
        <v>157</v>
      </c>
      <c r="B122" s="4">
        <v>44980.668341708537</v>
      </c>
      <c r="C122" t="s">
        <v>54</v>
      </c>
      <c r="D122" t="s">
        <v>19</v>
      </c>
      <c r="E122" t="s">
        <v>35</v>
      </c>
      <c r="F122">
        <v>762</v>
      </c>
      <c r="G122">
        <v>169</v>
      </c>
      <c r="H122">
        <v>593</v>
      </c>
      <c r="I122" t="s">
        <v>41</v>
      </c>
      <c r="J122">
        <v>62</v>
      </c>
      <c r="K122" t="s">
        <v>16</v>
      </c>
    </row>
    <row r="123" spans="1:11" x14ac:dyDescent="0.3">
      <c r="A123" t="s">
        <v>158</v>
      </c>
      <c r="B123" s="4">
        <v>44981.115577889454</v>
      </c>
      <c r="C123" t="s">
        <v>43</v>
      </c>
      <c r="D123" t="s">
        <v>52</v>
      </c>
      <c r="E123" t="s">
        <v>47</v>
      </c>
      <c r="F123">
        <v>792</v>
      </c>
      <c r="G123">
        <v>246</v>
      </c>
      <c r="H123">
        <v>546</v>
      </c>
      <c r="I123" t="s">
        <v>41</v>
      </c>
      <c r="J123">
        <v>39</v>
      </c>
      <c r="K123" t="s">
        <v>16</v>
      </c>
    </row>
    <row r="124" spans="1:11" x14ac:dyDescent="0.3">
      <c r="A124" t="s">
        <v>159</v>
      </c>
      <c r="B124" s="4">
        <v>44981.562814070348</v>
      </c>
      <c r="C124" t="s">
        <v>54</v>
      </c>
      <c r="D124" t="s">
        <v>46</v>
      </c>
      <c r="E124" t="s">
        <v>28</v>
      </c>
      <c r="F124">
        <v>1178</v>
      </c>
      <c r="G124">
        <v>25</v>
      </c>
      <c r="H124">
        <v>1153</v>
      </c>
      <c r="I124" t="s">
        <v>41</v>
      </c>
      <c r="J124">
        <v>36</v>
      </c>
      <c r="K124" t="s">
        <v>16</v>
      </c>
    </row>
    <row r="125" spans="1:11" x14ac:dyDescent="0.3">
      <c r="A125" t="s">
        <v>160</v>
      </c>
      <c r="B125" s="4">
        <v>44982.010050251251</v>
      </c>
      <c r="C125" t="s">
        <v>43</v>
      </c>
      <c r="D125" t="s">
        <v>19</v>
      </c>
      <c r="E125" t="s">
        <v>35</v>
      </c>
      <c r="F125">
        <v>1391</v>
      </c>
      <c r="G125">
        <v>12</v>
      </c>
      <c r="H125">
        <v>1379</v>
      </c>
      <c r="I125" t="s">
        <v>41</v>
      </c>
      <c r="J125">
        <v>27</v>
      </c>
      <c r="K125" t="s">
        <v>16</v>
      </c>
    </row>
    <row r="126" spans="1:11" x14ac:dyDescent="0.3">
      <c r="A126" t="s">
        <v>161</v>
      </c>
      <c r="B126" s="4">
        <v>44982.457286432153</v>
      </c>
      <c r="C126" t="s">
        <v>18</v>
      </c>
      <c r="D126" t="s">
        <v>52</v>
      </c>
      <c r="E126" t="s">
        <v>35</v>
      </c>
      <c r="F126">
        <v>652</v>
      </c>
      <c r="G126">
        <v>35</v>
      </c>
      <c r="H126">
        <v>617</v>
      </c>
      <c r="I126" t="s">
        <v>24</v>
      </c>
      <c r="J126">
        <v>73</v>
      </c>
      <c r="K126" t="s">
        <v>16</v>
      </c>
    </row>
    <row r="127" spans="1:11" x14ac:dyDescent="0.3">
      <c r="A127" t="s">
        <v>162</v>
      </c>
      <c r="B127" s="4">
        <v>44982.904522613047</v>
      </c>
      <c r="C127" t="s">
        <v>23</v>
      </c>
      <c r="D127" t="s">
        <v>52</v>
      </c>
      <c r="E127" t="s">
        <v>31</v>
      </c>
      <c r="F127">
        <v>916</v>
      </c>
      <c r="G127">
        <v>172</v>
      </c>
      <c r="H127">
        <v>744</v>
      </c>
      <c r="I127" t="s">
        <v>29</v>
      </c>
      <c r="J127">
        <v>33</v>
      </c>
      <c r="K127" t="s">
        <v>21</v>
      </c>
    </row>
    <row r="128" spans="1:11" x14ac:dyDescent="0.3">
      <c r="A128" t="s">
        <v>163</v>
      </c>
      <c r="B128" s="4">
        <v>44983.351758793957</v>
      </c>
      <c r="C128" t="s">
        <v>18</v>
      </c>
      <c r="D128" t="s">
        <v>46</v>
      </c>
      <c r="E128" t="s">
        <v>47</v>
      </c>
      <c r="F128">
        <v>547</v>
      </c>
      <c r="G128">
        <v>19</v>
      </c>
      <c r="H128">
        <v>528</v>
      </c>
      <c r="I128" t="s">
        <v>24</v>
      </c>
      <c r="J128">
        <v>63</v>
      </c>
      <c r="K128" t="s">
        <v>16</v>
      </c>
    </row>
    <row r="129" spans="1:11" x14ac:dyDescent="0.3">
      <c r="A129" t="s">
        <v>164</v>
      </c>
      <c r="B129" s="4">
        <v>44983.798994974873</v>
      </c>
      <c r="C129" t="s">
        <v>34</v>
      </c>
      <c r="D129" t="s">
        <v>56</v>
      </c>
      <c r="E129" t="s">
        <v>20</v>
      </c>
      <c r="F129">
        <v>1020</v>
      </c>
      <c r="G129">
        <v>263</v>
      </c>
      <c r="H129">
        <v>757</v>
      </c>
      <c r="I129" t="s">
        <v>29</v>
      </c>
      <c r="J129">
        <v>50</v>
      </c>
      <c r="K129" t="s">
        <v>21</v>
      </c>
    </row>
    <row r="130" spans="1:11" x14ac:dyDescent="0.3">
      <c r="A130" t="s">
        <v>165</v>
      </c>
      <c r="B130" s="4">
        <v>44984.246231155783</v>
      </c>
      <c r="C130" t="s">
        <v>34</v>
      </c>
      <c r="D130" t="s">
        <v>27</v>
      </c>
      <c r="E130" t="s">
        <v>31</v>
      </c>
      <c r="F130">
        <v>944</v>
      </c>
      <c r="G130">
        <v>141</v>
      </c>
      <c r="H130">
        <v>803</v>
      </c>
      <c r="I130" t="s">
        <v>15</v>
      </c>
      <c r="J130">
        <v>26</v>
      </c>
      <c r="K130" t="s">
        <v>16</v>
      </c>
    </row>
    <row r="131" spans="1:11" x14ac:dyDescent="0.3">
      <c r="A131" t="s">
        <v>166</v>
      </c>
      <c r="B131" s="4">
        <v>44984.693467336678</v>
      </c>
      <c r="C131" t="s">
        <v>54</v>
      </c>
      <c r="D131" t="s">
        <v>46</v>
      </c>
      <c r="E131" t="s">
        <v>31</v>
      </c>
      <c r="F131">
        <v>542</v>
      </c>
      <c r="G131">
        <v>142</v>
      </c>
      <c r="H131">
        <v>400</v>
      </c>
      <c r="I131" t="s">
        <v>15</v>
      </c>
      <c r="J131">
        <v>55</v>
      </c>
      <c r="K131" t="s">
        <v>21</v>
      </c>
    </row>
    <row r="132" spans="1:11" x14ac:dyDescent="0.3">
      <c r="A132" t="s">
        <v>167</v>
      </c>
      <c r="B132" s="4">
        <v>44985.14070351758</v>
      </c>
      <c r="C132" t="s">
        <v>23</v>
      </c>
      <c r="D132" t="s">
        <v>13</v>
      </c>
      <c r="E132" t="s">
        <v>35</v>
      </c>
      <c r="F132">
        <v>356</v>
      </c>
      <c r="G132">
        <v>91</v>
      </c>
      <c r="H132">
        <v>265</v>
      </c>
      <c r="I132" t="s">
        <v>29</v>
      </c>
      <c r="J132">
        <v>33</v>
      </c>
      <c r="K132" t="s">
        <v>21</v>
      </c>
    </row>
    <row r="133" spans="1:11" x14ac:dyDescent="0.3">
      <c r="A133" t="s">
        <v>168</v>
      </c>
      <c r="B133" s="4">
        <v>44985.587939698482</v>
      </c>
      <c r="C133" t="s">
        <v>18</v>
      </c>
      <c r="D133" t="s">
        <v>13</v>
      </c>
      <c r="E133" t="s">
        <v>35</v>
      </c>
      <c r="F133">
        <v>1188</v>
      </c>
      <c r="G133">
        <v>287</v>
      </c>
      <c r="H133">
        <v>901</v>
      </c>
      <c r="I133" t="s">
        <v>15</v>
      </c>
      <c r="J133">
        <v>26</v>
      </c>
      <c r="K133" t="s">
        <v>21</v>
      </c>
    </row>
    <row r="134" spans="1:11" x14ac:dyDescent="0.3">
      <c r="A134" t="s">
        <v>169</v>
      </c>
      <c r="B134" s="4">
        <v>44986.035175879377</v>
      </c>
      <c r="C134" t="s">
        <v>34</v>
      </c>
      <c r="D134" t="s">
        <v>52</v>
      </c>
      <c r="E134" t="s">
        <v>35</v>
      </c>
      <c r="F134">
        <v>1041</v>
      </c>
      <c r="G134">
        <v>214</v>
      </c>
      <c r="H134">
        <v>827</v>
      </c>
      <c r="I134" t="s">
        <v>15</v>
      </c>
      <c r="J134">
        <v>23</v>
      </c>
      <c r="K134" t="s">
        <v>16</v>
      </c>
    </row>
    <row r="135" spans="1:11" x14ac:dyDescent="0.3">
      <c r="A135" t="s">
        <v>170</v>
      </c>
      <c r="B135" s="4">
        <v>44986.482412060301</v>
      </c>
      <c r="C135" t="s">
        <v>34</v>
      </c>
      <c r="D135" t="s">
        <v>27</v>
      </c>
      <c r="E135" t="s">
        <v>20</v>
      </c>
      <c r="F135">
        <v>1013</v>
      </c>
      <c r="G135">
        <v>50</v>
      </c>
      <c r="H135">
        <v>963</v>
      </c>
      <c r="I135" t="s">
        <v>15</v>
      </c>
      <c r="J135">
        <v>21</v>
      </c>
      <c r="K135" t="s">
        <v>16</v>
      </c>
    </row>
    <row r="136" spans="1:11" x14ac:dyDescent="0.3">
      <c r="A136" t="s">
        <v>171</v>
      </c>
      <c r="B136" s="4">
        <v>44986.929648241203</v>
      </c>
      <c r="C136" t="s">
        <v>18</v>
      </c>
      <c r="D136" t="s">
        <v>46</v>
      </c>
      <c r="E136" t="s">
        <v>20</v>
      </c>
      <c r="F136">
        <v>892</v>
      </c>
      <c r="G136">
        <v>152</v>
      </c>
      <c r="H136">
        <v>740</v>
      </c>
      <c r="I136" t="s">
        <v>24</v>
      </c>
      <c r="J136">
        <v>42</v>
      </c>
      <c r="K136" t="s">
        <v>16</v>
      </c>
    </row>
    <row r="137" spans="1:11" x14ac:dyDescent="0.3">
      <c r="A137" t="s">
        <v>172</v>
      </c>
      <c r="B137" s="4">
        <v>44987.376884422098</v>
      </c>
      <c r="C137" t="s">
        <v>38</v>
      </c>
      <c r="D137" t="s">
        <v>13</v>
      </c>
      <c r="E137" t="s">
        <v>31</v>
      </c>
      <c r="F137">
        <v>1414</v>
      </c>
      <c r="G137">
        <v>185</v>
      </c>
      <c r="H137">
        <v>1229</v>
      </c>
      <c r="I137" t="s">
        <v>24</v>
      </c>
      <c r="J137">
        <v>28</v>
      </c>
      <c r="K137" t="s">
        <v>16</v>
      </c>
    </row>
    <row r="138" spans="1:11" x14ac:dyDescent="0.3">
      <c r="A138" t="s">
        <v>173</v>
      </c>
      <c r="B138" s="4">
        <v>44987.824120603007</v>
      </c>
      <c r="C138" t="s">
        <v>18</v>
      </c>
      <c r="D138" t="s">
        <v>13</v>
      </c>
      <c r="E138" t="s">
        <v>31</v>
      </c>
      <c r="F138">
        <v>713</v>
      </c>
      <c r="G138">
        <v>62</v>
      </c>
      <c r="H138">
        <v>651</v>
      </c>
      <c r="I138" t="s">
        <v>41</v>
      </c>
      <c r="J138">
        <v>45</v>
      </c>
      <c r="K138" t="s">
        <v>21</v>
      </c>
    </row>
    <row r="139" spans="1:11" x14ac:dyDescent="0.3">
      <c r="A139" t="s">
        <v>174</v>
      </c>
      <c r="B139" s="4">
        <v>44988.271356783909</v>
      </c>
      <c r="C139" t="s">
        <v>54</v>
      </c>
      <c r="D139" t="s">
        <v>46</v>
      </c>
      <c r="E139" t="s">
        <v>28</v>
      </c>
      <c r="F139">
        <v>1170</v>
      </c>
      <c r="G139">
        <v>189</v>
      </c>
      <c r="H139">
        <v>981</v>
      </c>
      <c r="I139" t="s">
        <v>29</v>
      </c>
      <c r="J139">
        <v>66</v>
      </c>
      <c r="K139" t="s">
        <v>16</v>
      </c>
    </row>
    <row r="140" spans="1:11" x14ac:dyDescent="0.3">
      <c r="A140" t="s">
        <v>175</v>
      </c>
      <c r="B140" s="4">
        <v>44988.718592964811</v>
      </c>
      <c r="C140" t="s">
        <v>54</v>
      </c>
      <c r="D140" t="s">
        <v>19</v>
      </c>
      <c r="E140" t="s">
        <v>28</v>
      </c>
      <c r="F140">
        <v>245</v>
      </c>
      <c r="G140">
        <v>124</v>
      </c>
      <c r="H140">
        <v>121</v>
      </c>
      <c r="I140" t="s">
        <v>15</v>
      </c>
      <c r="J140">
        <v>33</v>
      </c>
      <c r="K140" t="s">
        <v>16</v>
      </c>
    </row>
    <row r="141" spans="1:11" x14ac:dyDescent="0.3">
      <c r="A141" t="s">
        <v>176</v>
      </c>
      <c r="B141" s="4">
        <v>44989.165829145721</v>
      </c>
      <c r="C141" t="s">
        <v>26</v>
      </c>
      <c r="D141" t="s">
        <v>52</v>
      </c>
      <c r="E141" t="s">
        <v>35</v>
      </c>
      <c r="F141">
        <v>634</v>
      </c>
      <c r="G141">
        <v>149</v>
      </c>
      <c r="H141">
        <v>485</v>
      </c>
      <c r="I141" t="s">
        <v>29</v>
      </c>
      <c r="J141">
        <v>72</v>
      </c>
      <c r="K141" t="s">
        <v>16</v>
      </c>
    </row>
    <row r="142" spans="1:11" x14ac:dyDescent="0.3">
      <c r="A142" t="s">
        <v>177</v>
      </c>
      <c r="B142" s="4">
        <v>44989.61306532663</v>
      </c>
      <c r="C142" t="s">
        <v>38</v>
      </c>
      <c r="D142" t="s">
        <v>46</v>
      </c>
      <c r="E142" t="s">
        <v>20</v>
      </c>
      <c r="F142">
        <v>380</v>
      </c>
      <c r="G142">
        <v>57</v>
      </c>
      <c r="H142">
        <v>323</v>
      </c>
      <c r="I142" t="s">
        <v>41</v>
      </c>
      <c r="J142">
        <v>61</v>
      </c>
      <c r="K142" t="s">
        <v>21</v>
      </c>
    </row>
    <row r="143" spans="1:11" x14ac:dyDescent="0.3">
      <c r="A143" t="s">
        <v>178</v>
      </c>
      <c r="B143" s="4">
        <v>44990.060301507532</v>
      </c>
      <c r="C143" t="s">
        <v>43</v>
      </c>
      <c r="D143" t="s">
        <v>19</v>
      </c>
      <c r="E143" t="s">
        <v>20</v>
      </c>
      <c r="F143">
        <v>898</v>
      </c>
      <c r="G143">
        <v>179</v>
      </c>
      <c r="H143">
        <v>719</v>
      </c>
      <c r="I143" t="s">
        <v>41</v>
      </c>
      <c r="J143">
        <v>30</v>
      </c>
      <c r="K143" t="s">
        <v>16</v>
      </c>
    </row>
    <row r="144" spans="1:11" x14ac:dyDescent="0.3">
      <c r="A144" t="s">
        <v>179</v>
      </c>
      <c r="B144" s="4">
        <v>44990.507537688427</v>
      </c>
      <c r="C144" t="s">
        <v>23</v>
      </c>
      <c r="D144" t="s">
        <v>52</v>
      </c>
      <c r="E144" t="s">
        <v>31</v>
      </c>
      <c r="F144">
        <v>1344</v>
      </c>
      <c r="G144">
        <v>169</v>
      </c>
      <c r="H144">
        <v>1175</v>
      </c>
      <c r="I144" t="s">
        <v>15</v>
      </c>
      <c r="J144">
        <v>67</v>
      </c>
      <c r="K144" t="s">
        <v>16</v>
      </c>
    </row>
    <row r="145" spans="1:11" x14ac:dyDescent="0.3">
      <c r="A145" t="s">
        <v>180</v>
      </c>
      <c r="B145" s="4">
        <v>44990.954773869344</v>
      </c>
      <c r="C145" t="s">
        <v>54</v>
      </c>
      <c r="D145" t="s">
        <v>27</v>
      </c>
      <c r="E145" t="s">
        <v>47</v>
      </c>
      <c r="F145">
        <v>690</v>
      </c>
      <c r="G145">
        <v>270</v>
      </c>
      <c r="H145">
        <v>420</v>
      </c>
      <c r="I145" t="s">
        <v>41</v>
      </c>
      <c r="J145">
        <v>19</v>
      </c>
      <c r="K145" t="s">
        <v>16</v>
      </c>
    </row>
    <row r="146" spans="1:11" x14ac:dyDescent="0.3">
      <c r="A146" t="s">
        <v>181</v>
      </c>
      <c r="B146" s="4">
        <v>44991.402010050253</v>
      </c>
      <c r="C146" t="s">
        <v>38</v>
      </c>
      <c r="D146" t="s">
        <v>56</v>
      </c>
      <c r="E146" t="s">
        <v>35</v>
      </c>
      <c r="F146">
        <v>1209</v>
      </c>
      <c r="G146">
        <v>53</v>
      </c>
      <c r="H146">
        <v>1156</v>
      </c>
      <c r="I146" t="s">
        <v>15</v>
      </c>
      <c r="J146">
        <v>49</v>
      </c>
      <c r="K146" t="s">
        <v>16</v>
      </c>
    </row>
    <row r="147" spans="1:11" x14ac:dyDescent="0.3">
      <c r="A147" t="s">
        <v>182</v>
      </c>
      <c r="B147" s="4">
        <v>44991.849246231148</v>
      </c>
      <c r="C147" t="s">
        <v>26</v>
      </c>
      <c r="D147" t="s">
        <v>52</v>
      </c>
      <c r="E147" t="s">
        <v>28</v>
      </c>
      <c r="F147">
        <v>674</v>
      </c>
      <c r="G147">
        <v>100</v>
      </c>
      <c r="H147">
        <v>574</v>
      </c>
      <c r="I147" t="s">
        <v>41</v>
      </c>
      <c r="J147">
        <v>26</v>
      </c>
      <c r="K147" t="s">
        <v>16</v>
      </c>
    </row>
    <row r="148" spans="1:11" x14ac:dyDescent="0.3">
      <c r="A148" t="s">
        <v>183</v>
      </c>
      <c r="B148" s="4">
        <v>44992.296482412057</v>
      </c>
      <c r="C148" t="s">
        <v>43</v>
      </c>
      <c r="D148" t="s">
        <v>27</v>
      </c>
      <c r="E148" t="s">
        <v>47</v>
      </c>
      <c r="F148">
        <v>1333</v>
      </c>
      <c r="G148">
        <v>263</v>
      </c>
      <c r="H148">
        <v>1070</v>
      </c>
      <c r="I148" t="s">
        <v>41</v>
      </c>
      <c r="J148">
        <v>39</v>
      </c>
      <c r="K148" t="s">
        <v>16</v>
      </c>
    </row>
    <row r="149" spans="1:11" x14ac:dyDescent="0.3">
      <c r="A149" t="s">
        <v>184</v>
      </c>
      <c r="B149" s="4">
        <v>44992.743718592959</v>
      </c>
      <c r="C149" t="s">
        <v>12</v>
      </c>
      <c r="D149" t="s">
        <v>56</v>
      </c>
      <c r="E149" t="s">
        <v>20</v>
      </c>
      <c r="F149">
        <v>1416</v>
      </c>
      <c r="G149">
        <v>52</v>
      </c>
      <c r="H149">
        <v>1364</v>
      </c>
      <c r="I149" t="s">
        <v>15</v>
      </c>
      <c r="J149">
        <v>66</v>
      </c>
      <c r="K149" t="s">
        <v>16</v>
      </c>
    </row>
    <row r="150" spans="1:11" x14ac:dyDescent="0.3">
      <c r="A150" t="s">
        <v>185</v>
      </c>
      <c r="B150" s="4">
        <v>44993.190954773869</v>
      </c>
      <c r="C150" t="s">
        <v>26</v>
      </c>
      <c r="D150" t="s">
        <v>13</v>
      </c>
      <c r="E150" t="s">
        <v>28</v>
      </c>
      <c r="F150">
        <v>1259</v>
      </c>
      <c r="G150">
        <v>59</v>
      </c>
      <c r="H150">
        <v>1200</v>
      </c>
      <c r="I150" t="s">
        <v>41</v>
      </c>
      <c r="J150">
        <v>73</v>
      </c>
      <c r="K150" t="s">
        <v>21</v>
      </c>
    </row>
    <row r="151" spans="1:11" x14ac:dyDescent="0.3">
      <c r="A151" t="s">
        <v>186</v>
      </c>
      <c r="B151" s="4">
        <v>44993.638190954771</v>
      </c>
      <c r="C151" t="s">
        <v>23</v>
      </c>
      <c r="D151" t="s">
        <v>13</v>
      </c>
      <c r="E151" t="s">
        <v>35</v>
      </c>
      <c r="F151">
        <v>727</v>
      </c>
      <c r="G151">
        <v>107</v>
      </c>
      <c r="H151">
        <v>620</v>
      </c>
      <c r="I151" t="s">
        <v>41</v>
      </c>
      <c r="J151">
        <v>35</v>
      </c>
      <c r="K151" t="s">
        <v>21</v>
      </c>
    </row>
    <row r="152" spans="1:11" x14ac:dyDescent="0.3">
      <c r="A152" t="s">
        <v>187</v>
      </c>
      <c r="B152" s="4">
        <v>44994.085427135673</v>
      </c>
      <c r="C152" t="s">
        <v>34</v>
      </c>
      <c r="D152" t="s">
        <v>13</v>
      </c>
      <c r="E152" t="s">
        <v>20</v>
      </c>
      <c r="F152">
        <v>831</v>
      </c>
      <c r="G152">
        <v>4</v>
      </c>
      <c r="H152">
        <v>827</v>
      </c>
      <c r="I152" t="s">
        <v>41</v>
      </c>
      <c r="J152">
        <v>50</v>
      </c>
      <c r="K152" t="s">
        <v>16</v>
      </c>
    </row>
    <row r="153" spans="1:11" x14ac:dyDescent="0.3">
      <c r="A153" t="s">
        <v>188</v>
      </c>
      <c r="B153" s="4">
        <v>44994.532663316582</v>
      </c>
      <c r="C153" t="s">
        <v>12</v>
      </c>
      <c r="D153" t="s">
        <v>52</v>
      </c>
      <c r="E153" t="s">
        <v>35</v>
      </c>
      <c r="F153">
        <v>706</v>
      </c>
      <c r="G153">
        <v>102</v>
      </c>
      <c r="H153">
        <v>604</v>
      </c>
      <c r="I153" t="s">
        <v>29</v>
      </c>
      <c r="J153">
        <v>67</v>
      </c>
      <c r="K153" t="s">
        <v>21</v>
      </c>
    </row>
    <row r="154" spans="1:11" x14ac:dyDescent="0.3">
      <c r="A154" t="s">
        <v>189</v>
      </c>
      <c r="B154" s="4">
        <v>44994.979899497477</v>
      </c>
      <c r="C154" t="s">
        <v>38</v>
      </c>
      <c r="D154" t="s">
        <v>19</v>
      </c>
      <c r="E154" t="s">
        <v>31</v>
      </c>
      <c r="F154">
        <v>1162</v>
      </c>
      <c r="G154">
        <v>195</v>
      </c>
      <c r="H154">
        <v>967</v>
      </c>
      <c r="I154" t="s">
        <v>24</v>
      </c>
      <c r="J154">
        <v>37</v>
      </c>
      <c r="K154" t="s">
        <v>16</v>
      </c>
    </row>
    <row r="155" spans="1:11" x14ac:dyDescent="0.3">
      <c r="A155" t="s">
        <v>190</v>
      </c>
      <c r="B155" s="4">
        <v>44995.427135678387</v>
      </c>
      <c r="C155" t="s">
        <v>43</v>
      </c>
      <c r="D155" t="s">
        <v>56</v>
      </c>
      <c r="E155" t="s">
        <v>47</v>
      </c>
      <c r="F155">
        <v>795</v>
      </c>
      <c r="G155">
        <v>261</v>
      </c>
      <c r="H155">
        <v>534</v>
      </c>
      <c r="I155" t="s">
        <v>29</v>
      </c>
      <c r="J155">
        <v>30</v>
      </c>
      <c r="K155" t="s">
        <v>21</v>
      </c>
    </row>
    <row r="156" spans="1:11" x14ac:dyDescent="0.3">
      <c r="A156" t="s">
        <v>191</v>
      </c>
      <c r="B156" s="4">
        <v>44995.874371859303</v>
      </c>
      <c r="C156" t="s">
        <v>18</v>
      </c>
      <c r="D156" t="s">
        <v>13</v>
      </c>
      <c r="E156" t="s">
        <v>47</v>
      </c>
      <c r="F156">
        <v>945</v>
      </c>
      <c r="G156">
        <v>46</v>
      </c>
      <c r="H156">
        <v>899</v>
      </c>
      <c r="I156" t="s">
        <v>41</v>
      </c>
      <c r="J156">
        <v>71</v>
      </c>
      <c r="K156" t="s">
        <v>16</v>
      </c>
    </row>
    <row r="157" spans="1:11" x14ac:dyDescent="0.3">
      <c r="A157" t="s">
        <v>192</v>
      </c>
      <c r="B157" s="4">
        <v>44996.321608040198</v>
      </c>
      <c r="C157" t="s">
        <v>26</v>
      </c>
      <c r="D157" t="s">
        <v>46</v>
      </c>
      <c r="E157" t="s">
        <v>47</v>
      </c>
      <c r="F157">
        <v>1201</v>
      </c>
      <c r="G157">
        <v>143</v>
      </c>
      <c r="H157">
        <v>1058</v>
      </c>
      <c r="I157" t="s">
        <v>24</v>
      </c>
      <c r="J157">
        <v>53</v>
      </c>
      <c r="K157" t="s">
        <v>16</v>
      </c>
    </row>
    <row r="158" spans="1:11" x14ac:dyDescent="0.3">
      <c r="A158" t="s">
        <v>193</v>
      </c>
      <c r="B158" s="4">
        <v>44996.7688442211</v>
      </c>
      <c r="C158" t="s">
        <v>23</v>
      </c>
      <c r="D158" t="s">
        <v>56</v>
      </c>
      <c r="E158" t="s">
        <v>14</v>
      </c>
      <c r="F158">
        <v>1404</v>
      </c>
      <c r="G158">
        <v>268</v>
      </c>
      <c r="H158">
        <v>1136</v>
      </c>
      <c r="I158" t="s">
        <v>29</v>
      </c>
      <c r="J158">
        <v>59</v>
      </c>
      <c r="K158" t="s">
        <v>16</v>
      </c>
    </row>
    <row r="159" spans="1:11" x14ac:dyDescent="0.3">
      <c r="A159" t="s">
        <v>194</v>
      </c>
      <c r="B159" s="4">
        <v>44997.216080402002</v>
      </c>
      <c r="C159" t="s">
        <v>43</v>
      </c>
      <c r="D159" t="s">
        <v>56</v>
      </c>
      <c r="E159" t="s">
        <v>35</v>
      </c>
      <c r="F159">
        <v>339</v>
      </c>
      <c r="G159">
        <v>123</v>
      </c>
      <c r="H159">
        <v>216</v>
      </c>
      <c r="I159" t="s">
        <v>29</v>
      </c>
      <c r="J159">
        <v>67</v>
      </c>
      <c r="K159" t="s">
        <v>16</v>
      </c>
    </row>
    <row r="160" spans="1:11" x14ac:dyDescent="0.3">
      <c r="A160" t="s">
        <v>195</v>
      </c>
      <c r="B160" s="4">
        <v>44997.663316582897</v>
      </c>
      <c r="C160" t="s">
        <v>26</v>
      </c>
      <c r="D160" t="s">
        <v>19</v>
      </c>
      <c r="E160" t="s">
        <v>47</v>
      </c>
      <c r="F160">
        <v>1398</v>
      </c>
      <c r="G160">
        <v>105</v>
      </c>
      <c r="H160">
        <v>1293</v>
      </c>
      <c r="I160" t="s">
        <v>29</v>
      </c>
      <c r="J160">
        <v>56</v>
      </c>
      <c r="K160" t="s">
        <v>21</v>
      </c>
    </row>
    <row r="161" spans="1:11" x14ac:dyDescent="0.3">
      <c r="A161" t="s">
        <v>196</v>
      </c>
      <c r="B161" s="4">
        <v>44998.110552763806</v>
      </c>
      <c r="C161" t="s">
        <v>26</v>
      </c>
      <c r="D161" t="s">
        <v>27</v>
      </c>
      <c r="E161" t="s">
        <v>31</v>
      </c>
      <c r="F161">
        <v>1456</v>
      </c>
      <c r="G161">
        <v>157</v>
      </c>
      <c r="H161">
        <v>1299</v>
      </c>
      <c r="I161" t="s">
        <v>15</v>
      </c>
      <c r="J161">
        <v>72</v>
      </c>
      <c r="K161" t="s">
        <v>16</v>
      </c>
    </row>
    <row r="162" spans="1:11" x14ac:dyDescent="0.3">
      <c r="A162" t="s">
        <v>197</v>
      </c>
      <c r="B162" s="4">
        <v>44998.557788944723</v>
      </c>
      <c r="C162" t="s">
        <v>18</v>
      </c>
      <c r="D162" t="s">
        <v>19</v>
      </c>
      <c r="E162" t="s">
        <v>47</v>
      </c>
      <c r="F162">
        <v>782</v>
      </c>
      <c r="G162">
        <v>146</v>
      </c>
      <c r="H162">
        <v>636</v>
      </c>
      <c r="I162" t="s">
        <v>41</v>
      </c>
      <c r="J162">
        <v>53</v>
      </c>
      <c r="K162" t="s">
        <v>21</v>
      </c>
    </row>
    <row r="163" spans="1:11" x14ac:dyDescent="0.3">
      <c r="A163" t="s">
        <v>198</v>
      </c>
      <c r="B163" s="4">
        <v>44999.005025125633</v>
      </c>
      <c r="C163" t="s">
        <v>12</v>
      </c>
      <c r="D163" t="s">
        <v>13</v>
      </c>
      <c r="E163" t="s">
        <v>35</v>
      </c>
      <c r="F163">
        <v>777</v>
      </c>
      <c r="G163">
        <v>144</v>
      </c>
      <c r="H163">
        <v>633</v>
      </c>
      <c r="I163" t="s">
        <v>41</v>
      </c>
      <c r="J163">
        <v>28</v>
      </c>
      <c r="K163" t="s">
        <v>21</v>
      </c>
    </row>
    <row r="164" spans="1:11" x14ac:dyDescent="0.3">
      <c r="A164" t="s">
        <v>199</v>
      </c>
      <c r="B164" s="4">
        <v>44999.452261306527</v>
      </c>
      <c r="C164" t="s">
        <v>26</v>
      </c>
      <c r="D164" t="s">
        <v>46</v>
      </c>
      <c r="E164" t="s">
        <v>47</v>
      </c>
      <c r="F164">
        <v>1122</v>
      </c>
      <c r="G164">
        <v>119</v>
      </c>
      <c r="H164">
        <v>1003</v>
      </c>
      <c r="I164" t="s">
        <v>24</v>
      </c>
      <c r="J164">
        <v>45</v>
      </c>
      <c r="K164" t="s">
        <v>16</v>
      </c>
    </row>
    <row r="165" spans="1:11" x14ac:dyDescent="0.3">
      <c r="A165" t="s">
        <v>200</v>
      </c>
      <c r="B165" s="4">
        <v>44999.899497487429</v>
      </c>
      <c r="C165" t="s">
        <v>34</v>
      </c>
      <c r="D165" t="s">
        <v>46</v>
      </c>
      <c r="E165" t="s">
        <v>35</v>
      </c>
      <c r="F165">
        <v>1432</v>
      </c>
      <c r="G165">
        <v>274</v>
      </c>
      <c r="H165">
        <v>1158</v>
      </c>
      <c r="I165" t="s">
        <v>29</v>
      </c>
      <c r="J165">
        <v>72</v>
      </c>
      <c r="K165" t="s">
        <v>21</v>
      </c>
    </row>
    <row r="166" spans="1:11" x14ac:dyDescent="0.3">
      <c r="A166" t="s">
        <v>201</v>
      </c>
      <c r="B166" s="4">
        <v>45000.346733668332</v>
      </c>
      <c r="C166" t="s">
        <v>54</v>
      </c>
      <c r="D166" t="s">
        <v>13</v>
      </c>
      <c r="E166" t="s">
        <v>20</v>
      </c>
      <c r="F166">
        <v>859</v>
      </c>
      <c r="G166">
        <v>91</v>
      </c>
      <c r="H166">
        <v>768</v>
      </c>
      <c r="I166" t="s">
        <v>41</v>
      </c>
      <c r="J166">
        <v>19</v>
      </c>
      <c r="K166" t="s">
        <v>16</v>
      </c>
    </row>
    <row r="167" spans="1:11" x14ac:dyDescent="0.3">
      <c r="A167" t="s">
        <v>202</v>
      </c>
      <c r="B167" s="4">
        <v>45000.793969849226</v>
      </c>
      <c r="C167" t="s">
        <v>18</v>
      </c>
      <c r="D167" t="s">
        <v>46</v>
      </c>
      <c r="E167" t="s">
        <v>31</v>
      </c>
      <c r="F167">
        <v>798</v>
      </c>
      <c r="G167">
        <v>57</v>
      </c>
      <c r="H167">
        <v>741</v>
      </c>
      <c r="I167" t="s">
        <v>29</v>
      </c>
      <c r="J167">
        <v>49</v>
      </c>
      <c r="K167" t="s">
        <v>21</v>
      </c>
    </row>
    <row r="168" spans="1:11" x14ac:dyDescent="0.3">
      <c r="A168" t="s">
        <v>203</v>
      </c>
      <c r="B168" s="4">
        <v>45001.24120603015</v>
      </c>
      <c r="C168" t="s">
        <v>26</v>
      </c>
      <c r="D168" t="s">
        <v>19</v>
      </c>
      <c r="E168" t="s">
        <v>35</v>
      </c>
      <c r="F168">
        <v>467</v>
      </c>
      <c r="G168">
        <v>228</v>
      </c>
      <c r="H168">
        <v>239</v>
      </c>
      <c r="I168" t="s">
        <v>41</v>
      </c>
      <c r="J168">
        <v>37</v>
      </c>
      <c r="K168" t="s">
        <v>16</v>
      </c>
    </row>
    <row r="169" spans="1:11" x14ac:dyDescent="0.3">
      <c r="A169" t="s">
        <v>204</v>
      </c>
      <c r="B169" s="4">
        <v>45001.688442211052</v>
      </c>
      <c r="C169" t="s">
        <v>12</v>
      </c>
      <c r="D169" t="s">
        <v>52</v>
      </c>
      <c r="E169" t="s">
        <v>35</v>
      </c>
      <c r="F169">
        <v>1398</v>
      </c>
      <c r="G169">
        <v>116</v>
      </c>
      <c r="H169">
        <v>1282</v>
      </c>
      <c r="I169" t="s">
        <v>29</v>
      </c>
      <c r="J169">
        <v>43</v>
      </c>
      <c r="K169" t="s">
        <v>21</v>
      </c>
    </row>
    <row r="170" spans="1:11" x14ac:dyDescent="0.3">
      <c r="A170" t="s">
        <v>205</v>
      </c>
      <c r="B170" s="4">
        <v>45002.135678391947</v>
      </c>
      <c r="C170" t="s">
        <v>26</v>
      </c>
      <c r="D170" t="s">
        <v>19</v>
      </c>
      <c r="E170" t="s">
        <v>14</v>
      </c>
      <c r="F170">
        <v>1407</v>
      </c>
      <c r="G170">
        <v>278</v>
      </c>
      <c r="H170">
        <v>1129</v>
      </c>
      <c r="I170" t="s">
        <v>41</v>
      </c>
      <c r="J170">
        <v>57</v>
      </c>
      <c r="K170" t="s">
        <v>21</v>
      </c>
    </row>
    <row r="171" spans="1:11" x14ac:dyDescent="0.3">
      <c r="A171" t="s">
        <v>206</v>
      </c>
      <c r="B171" s="4">
        <v>45002.582914572857</v>
      </c>
      <c r="C171" t="s">
        <v>26</v>
      </c>
      <c r="D171" t="s">
        <v>52</v>
      </c>
      <c r="E171" t="s">
        <v>20</v>
      </c>
      <c r="F171">
        <v>833</v>
      </c>
      <c r="G171">
        <v>126</v>
      </c>
      <c r="H171">
        <v>707</v>
      </c>
      <c r="I171" t="s">
        <v>24</v>
      </c>
      <c r="J171">
        <v>25</v>
      </c>
      <c r="K171" t="s">
        <v>16</v>
      </c>
    </row>
    <row r="172" spans="1:11" x14ac:dyDescent="0.3">
      <c r="A172" t="s">
        <v>207</v>
      </c>
      <c r="B172" s="4">
        <v>45003.030150753759</v>
      </c>
      <c r="C172" t="s">
        <v>34</v>
      </c>
      <c r="D172" t="s">
        <v>13</v>
      </c>
      <c r="E172" t="s">
        <v>31</v>
      </c>
      <c r="F172">
        <v>813</v>
      </c>
      <c r="G172">
        <v>128</v>
      </c>
      <c r="H172">
        <v>685</v>
      </c>
      <c r="I172" t="s">
        <v>29</v>
      </c>
      <c r="J172">
        <v>32</v>
      </c>
      <c r="K172" t="s">
        <v>21</v>
      </c>
    </row>
    <row r="173" spans="1:11" x14ac:dyDescent="0.3">
      <c r="A173" t="s">
        <v>208</v>
      </c>
      <c r="B173" s="4">
        <v>45003.477386934661</v>
      </c>
      <c r="C173" t="s">
        <v>43</v>
      </c>
      <c r="D173" t="s">
        <v>46</v>
      </c>
      <c r="E173" t="s">
        <v>14</v>
      </c>
      <c r="F173">
        <v>1406</v>
      </c>
      <c r="G173">
        <v>57</v>
      </c>
      <c r="H173">
        <v>1349</v>
      </c>
      <c r="I173" t="s">
        <v>41</v>
      </c>
      <c r="J173">
        <v>61</v>
      </c>
      <c r="K173" t="s">
        <v>21</v>
      </c>
    </row>
    <row r="174" spans="1:11" x14ac:dyDescent="0.3">
      <c r="A174" t="s">
        <v>209</v>
      </c>
      <c r="B174" s="4">
        <v>45003.92462311557</v>
      </c>
      <c r="C174" t="s">
        <v>38</v>
      </c>
      <c r="D174" t="s">
        <v>56</v>
      </c>
      <c r="E174" t="s">
        <v>47</v>
      </c>
      <c r="F174">
        <v>1286</v>
      </c>
      <c r="G174">
        <v>121</v>
      </c>
      <c r="H174">
        <v>1165</v>
      </c>
      <c r="I174" t="s">
        <v>24</v>
      </c>
      <c r="J174">
        <v>26</v>
      </c>
      <c r="K174" t="s">
        <v>16</v>
      </c>
    </row>
    <row r="175" spans="1:11" x14ac:dyDescent="0.3">
      <c r="A175" t="s">
        <v>210</v>
      </c>
      <c r="B175" s="4">
        <v>45004.37185929648</v>
      </c>
      <c r="C175" t="s">
        <v>54</v>
      </c>
      <c r="D175" t="s">
        <v>27</v>
      </c>
      <c r="E175" t="s">
        <v>35</v>
      </c>
      <c r="F175">
        <v>591</v>
      </c>
      <c r="G175">
        <v>0</v>
      </c>
      <c r="H175">
        <v>591</v>
      </c>
      <c r="I175" t="s">
        <v>24</v>
      </c>
      <c r="J175">
        <v>23</v>
      </c>
      <c r="K175" t="s">
        <v>16</v>
      </c>
    </row>
    <row r="176" spans="1:11" x14ac:dyDescent="0.3">
      <c r="A176" t="s">
        <v>211</v>
      </c>
      <c r="B176" s="4">
        <v>45004.819095477382</v>
      </c>
      <c r="C176" t="s">
        <v>54</v>
      </c>
      <c r="D176" t="s">
        <v>56</v>
      </c>
      <c r="E176" t="s">
        <v>31</v>
      </c>
      <c r="F176">
        <v>713</v>
      </c>
      <c r="G176">
        <v>238</v>
      </c>
      <c r="H176">
        <v>475</v>
      </c>
      <c r="I176" t="s">
        <v>41</v>
      </c>
      <c r="J176">
        <v>24</v>
      </c>
      <c r="K176" t="s">
        <v>16</v>
      </c>
    </row>
    <row r="177" spans="1:11" x14ac:dyDescent="0.3">
      <c r="A177" t="s">
        <v>212</v>
      </c>
      <c r="B177" s="4">
        <v>45005.266331658277</v>
      </c>
      <c r="C177" t="s">
        <v>26</v>
      </c>
      <c r="D177" t="s">
        <v>52</v>
      </c>
      <c r="E177" t="s">
        <v>20</v>
      </c>
      <c r="F177">
        <v>1441</v>
      </c>
      <c r="G177">
        <v>289</v>
      </c>
      <c r="H177">
        <v>1152</v>
      </c>
      <c r="I177" t="s">
        <v>29</v>
      </c>
      <c r="J177">
        <v>72</v>
      </c>
      <c r="K177" t="s">
        <v>16</v>
      </c>
    </row>
    <row r="178" spans="1:11" x14ac:dyDescent="0.3">
      <c r="A178" t="s">
        <v>213</v>
      </c>
      <c r="B178" s="4">
        <v>45005.713567839193</v>
      </c>
      <c r="C178" t="s">
        <v>18</v>
      </c>
      <c r="D178" t="s">
        <v>19</v>
      </c>
      <c r="E178" t="s">
        <v>14</v>
      </c>
      <c r="F178">
        <v>1286</v>
      </c>
      <c r="G178">
        <v>95</v>
      </c>
      <c r="H178">
        <v>1191</v>
      </c>
      <c r="I178" t="s">
        <v>15</v>
      </c>
      <c r="J178">
        <v>58</v>
      </c>
      <c r="K178" t="s">
        <v>21</v>
      </c>
    </row>
    <row r="179" spans="1:11" x14ac:dyDescent="0.3">
      <c r="A179" t="s">
        <v>214</v>
      </c>
      <c r="B179" s="4">
        <v>45006.160804020103</v>
      </c>
      <c r="C179" t="s">
        <v>38</v>
      </c>
      <c r="D179" t="s">
        <v>19</v>
      </c>
      <c r="E179" t="s">
        <v>35</v>
      </c>
      <c r="F179">
        <v>1101</v>
      </c>
      <c r="G179">
        <v>125</v>
      </c>
      <c r="H179">
        <v>976</v>
      </c>
      <c r="I179" t="s">
        <v>24</v>
      </c>
      <c r="J179">
        <v>31</v>
      </c>
      <c r="K179" t="s">
        <v>16</v>
      </c>
    </row>
    <row r="180" spans="1:11" x14ac:dyDescent="0.3">
      <c r="A180" t="s">
        <v>215</v>
      </c>
      <c r="B180" s="4">
        <v>45006.608040200997</v>
      </c>
      <c r="C180" t="s">
        <v>38</v>
      </c>
      <c r="D180" t="s">
        <v>19</v>
      </c>
      <c r="E180" t="s">
        <v>28</v>
      </c>
      <c r="F180">
        <v>1254</v>
      </c>
      <c r="G180">
        <v>117</v>
      </c>
      <c r="H180">
        <v>1137</v>
      </c>
      <c r="I180" t="s">
        <v>24</v>
      </c>
      <c r="J180">
        <v>52</v>
      </c>
      <c r="K180" t="s">
        <v>16</v>
      </c>
    </row>
    <row r="181" spans="1:11" x14ac:dyDescent="0.3">
      <c r="A181" t="s">
        <v>216</v>
      </c>
      <c r="B181" s="4">
        <v>45007.0552763819</v>
      </c>
      <c r="C181" t="s">
        <v>38</v>
      </c>
      <c r="D181" t="s">
        <v>19</v>
      </c>
      <c r="E181" t="s">
        <v>31</v>
      </c>
      <c r="F181">
        <v>848</v>
      </c>
      <c r="G181">
        <v>47</v>
      </c>
      <c r="H181">
        <v>801</v>
      </c>
      <c r="I181" t="s">
        <v>41</v>
      </c>
      <c r="J181">
        <v>21</v>
      </c>
      <c r="K181" t="s">
        <v>16</v>
      </c>
    </row>
    <row r="182" spans="1:11" x14ac:dyDescent="0.3">
      <c r="A182" t="s">
        <v>217</v>
      </c>
      <c r="B182" s="4">
        <v>45007.502512562809</v>
      </c>
      <c r="C182" t="s">
        <v>12</v>
      </c>
      <c r="D182" t="s">
        <v>27</v>
      </c>
      <c r="E182" t="s">
        <v>14</v>
      </c>
      <c r="F182">
        <v>262</v>
      </c>
      <c r="G182">
        <v>88</v>
      </c>
      <c r="H182">
        <v>174</v>
      </c>
      <c r="I182" t="s">
        <v>15</v>
      </c>
      <c r="J182">
        <v>60</v>
      </c>
      <c r="K182" t="s">
        <v>16</v>
      </c>
    </row>
    <row r="183" spans="1:11" x14ac:dyDescent="0.3">
      <c r="A183" t="s">
        <v>218</v>
      </c>
      <c r="B183" s="4">
        <v>45007.949748743718</v>
      </c>
      <c r="C183" t="s">
        <v>12</v>
      </c>
      <c r="D183" t="s">
        <v>13</v>
      </c>
      <c r="E183" t="s">
        <v>20</v>
      </c>
      <c r="F183">
        <v>151</v>
      </c>
      <c r="G183">
        <v>236</v>
      </c>
      <c r="H183">
        <v>-85</v>
      </c>
      <c r="I183" t="s">
        <v>15</v>
      </c>
      <c r="J183">
        <v>27</v>
      </c>
      <c r="K183" t="s">
        <v>21</v>
      </c>
    </row>
    <row r="184" spans="1:11" x14ac:dyDescent="0.3">
      <c r="A184" t="s">
        <v>219</v>
      </c>
      <c r="B184" s="4">
        <v>45008.39698492462</v>
      </c>
      <c r="C184" t="s">
        <v>34</v>
      </c>
      <c r="D184" t="s">
        <v>19</v>
      </c>
      <c r="E184" t="s">
        <v>14</v>
      </c>
      <c r="F184">
        <v>791</v>
      </c>
      <c r="G184">
        <v>271</v>
      </c>
      <c r="H184">
        <v>520</v>
      </c>
      <c r="I184" t="s">
        <v>15</v>
      </c>
      <c r="J184">
        <v>54</v>
      </c>
      <c r="K184" t="s">
        <v>21</v>
      </c>
    </row>
    <row r="185" spans="1:11" x14ac:dyDescent="0.3">
      <c r="A185" t="s">
        <v>220</v>
      </c>
      <c r="B185" s="4">
        <v>45008.844221105523</v>
      </c>
      <c r="C185" t="s">
        <v>18</v>
      </c>
      <c r="D185" t="s">
        <v>52</v>
      </c>
      <c r="E185" t="s">
        <v>14</v>
      </c>
      <c r="F185">
        <v>369</v>
      </c>
      <c r="G185">
        <v>188</v>
      </c>
      <c r="H185">
        <v>181</v>
      </c>
      <c r="I185" t="s">
        <v>41</v>
      </c>
      <c r="J185">
        <v>56</v>
      </c>
      <c r="K185" t="s">
        <v>21</v>
      </c>
    </row>
    <row r="186" spans="1:11" x14ac:dyDescent="0.3">
      <c r="A186" t="s">
        <v>221</v>
      </c>
      <c r="B186" s="4">
        <v>45009.291457286417</v>
      </c>
      <c r="C186" t="s">
        <v>38</v>
      </c>
      <c r="D186" t="s">
        <v>46</v>
      </c>
      <c r="E186" t="s">
        <v>14</v>
      </c>
      <c r="F186">
        <v>1004</v>
      </c>
      <c r="G186">
        <v>191</v>
      </c>
      <c r="H186">
        <v>813</v>
      </c>
      <c r="I186" t="s">
        <v>29</v>
      </c>
      <c r="J186">
        <v>23</v>
      </c>
      <c r="K186" t="s">
        <v>16</v>
      </c>
    </row>
    <row r="187" spans="1:11" x14ac:dyDescent="0.3">
      <c r="A187" t="s">
        <v>222</v>
      </c>
      <c r="B187" s="4">
        <v>45009.738693467327</v>
      </c>
      <c r="C187" t="s">
        <v>23</v>
      </c>
      <c r="D187" t="s">
        <v>27</v>
      </c>
      <c r="E187" t="s">
        <v>47</v>
      </c>
      <c r="F187">
        <v>1398</v>
      </c>
      <c r="G187">
        <v>68</v>
      </c>
      <c r="H187">
        <v>1330</v>
      </c>
      <c r="I187" t="s">
        <v>24</v>
      </c>
      <c r="J187">
        <v>64</v>
      </c>
      <c r="K187" t="s">
        <v>21</v>
      </c>
    </row>
    <row r="188" spans="1:11" x14ac:dyDescent="0.3">
      <c r="A188" t="s">
        <v>223</v>
      </c>
      <c r="B188" s="4">
        <v>45010.185929648243</v>
      </c>
      <c r="C188" t="s">
        <v>54</v>
      </c>
      <c r="D188" t="s">
        <v>52</v>
      </c>
      <c r="E188" t="s">
        <v>28</v>
      </c>
      <c r="F188">
        <v>534</v>
      </c>
      <c r="G188">
        <v>277</v>
      </c>
      <c r="H188">
        <v>257</v>
      </c>
      <c r="I188" t="s">
        <v>41</v>
      </c>
      <c r="J188">
        <v>41</v>
      </c>
      <c r="K188" t="s">
        <v>21</v>
      </c>
    </row>
    <row r="189" spans="1:11" x14ac:dyDescent="0.3">
      <c r="A189" t="s">
        <v>224</v>
      </c>
      <c r="B189" s="4">
        <v>45010.633165829153</v>
      </c>
      <c r="C189" t="s">
        <v>26</v>
      </c>
      <c r="D189" t="s">
        <v>52</v>
      </c>
      <c r="E189" t="s">
        <v>20</v>
      </c>
      <c r="F189">
        <v>1303</v>
      </c>
      <c r="G189">
        <v>246</v>
      </c>
      <c r="H189">
        <v>1057</v>
      </c>
      <c r="I189" t="s">
        <v>15</v>
      </c>
      <c r="J189">
        <v>72</v>
      </c>
      <c r="K189" t="s">
        <v>16</v>
      </c>
    </row>
    <row r="190" spans="1:11" x14ac:dyDescent="0.3">
      <c r="A190" t="s">
        <v>225</v>
      </c>
      <c r="B190" s="4">
        <v>45011.080402010048</v>
      </c>
      <c r="C190" t="s">
        <v>26</v>
      </c>
      <c r="D190" t="s">
        <v>19</v>
      </c>
      <c r="E190" t="s">
        <v>20</v>
      </c>
      <c r="F190">
        <v>1226</v>
      </c>
      <c r="G190">
        <v>75</v>
      </c>
      <c r="H190">
        <v>1151</v>
      </c>
      <c r="I190" t="s">
        <v>24</v>
      </c>
      <c r="J190">
        <v>16</v>
      </c>
      <c r="K190" t="s">
        <v>21</v>
      </c>
    </row>
    <row r="191" spans="1:11" x14ac:dyDescent="0.3">
      <c r="A191" t="s">
        <v>226</v>
      </c>
      <c r="B191" s="4">
        <v>45011.52763819095</v>
      </c>
      <c r="C191" t="s">
        <v>38</v>
      </c>
      <c r="D191" t="s">
        <v>46</v>
      </c>
      <c r="E191" t="s">
        <v>20</v>
      </c>
      <c r="F191">
        <v>879</v>
      </c>
      <c r="G191">
        <v>153</v>
      </c>
      <c r="H191">
        <v>726</v>
      </c>
      <c r="I191" t="s">
        <v>24</v>
      </c>
      <c r="J191">
        <v>19</v>
      </c>
      <c r="K191" t="s">
        <v>21</v>
      </c>
    </row>
    <row r="192" spans="1:11" x14ac:dyDescent="0.3">
      <c r="A192" t="s">
        <v>227</v>
      </c>
      <c r="B192" s="4">
        <v>45011.974874371852</v>
      </c>
      <c r="C192" t="s">
        <v>38</v>
      </c>
      <c r="D192" t="s">
        <v>19</v>
      </c>
      <c r="E192" t="s">
        <v>35</v>
      </c>
      <c r="F192">
        <v>396</v>
      </c>
      <c r="G192">
        <v>143</v>
      </c>
      <c r="H192">
        <v>253</v>
      </c>
      <c r="I192" t="s">
        <v>15</v>
      </c>
      <c r="J192">
        <v>43</v>
      </c>
      <c r="K192" t="s">
        <v>16</v>
      </c>
    </row>
    <row r="193" spans="1:11" x14ac:dyDescent="0.3">
      <c r="A193" t="s">
        <v>228</v>
      </c>
      <c r="B193" s="4">
        <v>45012.422110552747</v>
      </c>
      <c r="C193" t="s">
        <v>23</v>
      </c>
      <c r="D193" t="s">
        <v>52</v>
      </c>
      <c r="E193" t="s">
        <v>31</v>
      </c>
      <c r="F193">
        <v>985</v>
      </c>
      <c r="G193">
        <v>85</v>
      </c>
      <c r="H193">
        <v>900</v>
      </c>
      <c r="I193" t="s">
        <v>15</v>
      </c>
      <c r="J193">
        <v>51</v>
      </c>
      <c r="K193" t="s">
        <v>21</v>
      </c>
    </row>
    <row r="194" spans="1:11" x14ac:dyDescent="0.3">
      <c r="A194" t="s">
        <v>229</v>
      </c>
      <c r="B194" s="4">
        <v>45012.869346733663</v>
      </c>
      <c r="C194" t="s">
        <v>26</v>
      </c>
      <c r="D194" t="s">
        <v>13</v>
      </c>
      <c r="E194" t="s">
        <v>20</v>
      </c>
      <c r="F194">
        <v>352</v>
      </c>
      <c r="G194">
        <v>184</v>
      </c>
      <c r="H194">
        <v>168</v>
      </c>
      <c r="I194" t="s">
        <v>24</v>
      </c>
      <c r="J194">
        <v>52</v>
      </c>
      <c r="K194" t="s">
        <v>16</v>
      </c>
    </row>
    <row r="195" spans="1:11" x14ac:dyDescent="0.3">
      <c r="A195" t="s">
        <v>230</v>
      </c>
      <c r="B195" s="4">
        <v>45013.316582914573</v>
      </c>
      <c r="C195" t="s">
        <v>34</v>
      </c>
      <c r="D195" t="s">
        <v>27</v>
      </c>
      <c r="E195" t="s">
        <v>31</v>
      </c>
      <c r="F195">
        <v>1357</v>
      </c>
      <c r="G195">
        <v>284</v>
      </c>
      <c r="H195">
        <v>1073</v>
      </c>
      <c r="I195" t="s">
        <v>24</v>
      </c>
      <c r="J195">
        <v>33</v>
      </c>
      <c r="K195" t="s">
        <v>21</v>
      </c>
    </row>
    <row r="196" spans="1:11" x14ac:dyDescent="0.3">
      <c r="A196" t="s">
        <v>231</v>
      </c>
      <c r="B196" s="4">
        <v>45013.763819095468</v>
      </c>
      <c r="C196" t="s">
        <v>38</v>
      </c>
      <c r="D196" t="s">
        <v>13</v>
      </c>
      <c r="E196" t="s">
        <v>20</v>
      </c>
      <c r="F196">
        <v>272</v>
      </c>
      <c r="G196">
        <v>219</v>
      </c>
      <c r="H196">
        <v>53</v>
      </c>
      <c r="I196" t="s">
        <v>29</v>
      </c>
      <c r="J196">
        <v>22</v>
      </c>
      <c r="K196" t="s">
        <v>21</v>
      </c>
    </row>
    <row r="197" spans="1:11" x14ac:dyDescent="0.3">
      <c r="A197" t="s">
        <v>232</v>
      </c>
      <c r="B197" s="4">
        <v>45014.211055276377</v>
      </c>
      <c r="C197" t="s">
        <v>54</v>
      </c>
      <c r="D197" t="s">
        <v>27</v>
      </c>
      <c r="E197" t="s">
        <v>28</v>
      </c>
      <c r="F197">
        <v>550</v>
      </c>
      <c r="G197">
        <v>68</v>
      </c>
      <c r="H197">
        <v>482</v>
      </c>
      <c r="I197" t="s">
        <v>29</v>
      </c>
      <c r="J197">
        <v>62</v>
      </c>
      <c r="K197" t="s">
        <v>16</v>
      </c>
    </row>
    <row r="198" spans="1:11" x14ac:dyDescent="0.3">
      <c r="A198" t="s">
        <v>233</v>
      </c>
      <c r="B198" s="4">
        <v>45014.658291457279</v>
      </c>
      <c r="C198" t="s">
        <v>43</v>
      </c>
      <c r="D198" t="s">
        <v>19</v>
      </c>
      <c r="E198" t="s">
        <v>35</v>
      </c>
      <c r="F198">
        <v>916</v>
      </c>
      <c r="G198">
        <v>46</v>
      </c>
      <c r="H198">
        <v>870</v>
      </c>
      <c r="I198" t="s">
        <v>41</v>
      </c>
      <c r="J198">
        <v>59</v>
      </c>
      <c r="K198" t="s">
        <v>21</v>
      </c>
    </row>
    <row r="199" spans="1:11" x14ac:dyDescent="0.3">
      <c r="A199" t="s">
        <v>234</v>
      </c>
      <c r="B199" s="4">
        <v>45015.105527638181</v>
      </c>
      <c r="C199" t="s">
        <v>18</v>
      </c>
      <c r="D199" t="s">
        <v>19</v>
      </c>
      <c r="E199" t="s">
        <v>35</v>
      </c>
      <c r="F199">
        <v>443</v>
      </c>
      <c r="G199">
        <v>93</v>
      </c>
      <c r="H199">
        <v>350</v>
      </c>
      <c r="I199" t="s">
        <v>24</v>
      </c>
      <c r="J199">
        <v>15</v>
      </c>
      <c r="K199" t="s">
        <v>16</v>
      </c>
    </row>
    <row r="200" spans="1:11" x14ac:dyDescent="0.3">
      <c r="A200" t="s">
        <v>235</v>
      </c>
      <c r="B200" s="4">
        <v>45015.552763819083</v>
      </c>
      <c r="C200" t="s">
        <v>34</v>
      </c>
      <c r="D200" t="s">
        <v>27</v>
      </c>
      <c r="E200" t="s">
        <v>14</v>
      </c>
      <c r="F200">
        <v>429</v>
      </c>
      <c r="G200">
        <v>237</v>
      </c>
      <c r="H200">
        <v>192</v>
      </c>
      <c r="I200" t="s">
        <v>29</v>
      </c>
      <c r="J200">
        <v>36</v>
      </c>
      <c r="K200" t="s">
        <v>16</v>
      </c>
    </row>
    <row r="201" spans="1:11" x14ac:dyDescent="0.3">
      <c r="A201" t="s">
        <v>236</v>
      </c>
      <c r="B201" s="4">
        <v>45016</v>
      </c>
      <c r="C201" t="s">
        <v>54</v>
      </c>
      <c r="D201" t="s">
        <v>46</v>
      </c>
      <c r="E201" t="s">
        <v>47</v>
      </c>
      <c r="F201">
        <v>1033</v>
      </c>
      <c r="G201">
        <v>203</v>
      </c>
      <c r="H201">
        <v>830</v>
      </c>
      <c r="I201" t="s">
        <v>24</v>
      </c>
      <c r="J201">
        <v>66</v>
      </c>
      <c r="K201" t="s">
        <v>16</v>
      </c>
    </row>
  </sheetData>
  <mergeCells count="4">
    <mergeCell ref="M2:N2"/>
    <mergeCell ref="M5:N5"/>
    <mergeCell ref="M8:N8"/>
    <mergeCell ref="M11:N11"/>
  </mergeCells>
  <phoneticPr fontId="2"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7975-DDB6-49DC-86DE-813BFB59B974}">
  <dimension ref="D24:K31"/>
  <sheetViews>
    <sheetView workbookViewId="0">
      <selection activeCell="W7" sqref="W7"/>
    </sheetView>
  </sheetViews>
  <sheetFormatPr defaultRowHeight="14.4" x14ac:dyDescent="0.3"/>
  <cols>
    <col min="1" max="1" width="19.109375" bestFit="1" customWidth="1"/>
    <col min="2" max="2" width="19.88671875" bestFit="1" customWidth="1"/>
    <col min="3" max="3" width="11.21875" bestFit="1" customWidth="1"/>
    <col min="4" max="4" width="19.109375" bestFit="1" customWidth="1"/>
    <col min="5" max="5" width="23.109375" bestFit="1" customWidth="1"/>
    <col min="7" max="7" width="12.33203125" bestFit="1" customWidth="1"/>
    <col min="8" max="8" width="19.88671875" bestFit="1" customWidth="1"/>
    <col min="10" max="10" width="12.33203125" bestFit="1" customWidth="1"/>
    <col min="11" max="11" width="12.109375" bestFit="1" customWidth="1"/>
  </cols>
  <sheetData>
    <row r="24" spans="4:11" x14ac:dyDescent="0.3">
      <c r="D24" s="1" t="s">
        <v>4</v>
      </c>
      <c r="E24" t="s">
        <v>238</v>
      </c>
    </row>
    <row r="25" spans="4:11" x14ac:dyDescent="0.3">
      <c r="D25" s="2" t="s">
        <v>28</v>
      </c>
      <c r="E25" s="3">
        <v>24</v>
      </c>
    </row>
    <row r="26" spans="4:11" x14ac:dyDescent="0.3">
      <c r="D26" s="2" t="s">
        <v>47</v>
      </c>
      <c r="E26" s="3">
        <v>33</v>
      </c>
    </row>
    <row r="27" spans="4:11" x14ac:dyDescent="0.3">
      <c r="D27" s="2" t="s">
        <v>35</v>
      </c>
      <c r="E27" s="3">
        <v>37</v>
      </c>
      <c r="K27" t="s">
        <v>237</v>
      </c>
    </row>
    <row r="28" spans="4:11" x14ac:dyDescent="0.3">
      <c r="D28" s="2" t="s">
        <v>20</v>
      </c>
      <c r="E28" s="3">
        <v>33</v>
      </c>
    </row>
    <row r="29" spans="4:11" x14ac:dyDescent="0.3">
      <c r="D29" s="2" t="s">
        <v>14</v>
      </c>
      <c r="E29" s="3">
        <v>34</v>
      </c>
    </row>
    <row r="30" spans="4:11" x14ac:dyDescent="0.3">
      <c r="D30" s="2" t="s">
        <v>31</v>
      </c>
      <c r="E30" s="3">
        <v>39</v>
      </c>
    </row>
    <row r="31" spans="4:11" x14ac:dyDescent="0.3">
      <c r="D31" s="2" t="s">
        <v>239</v>
      </c>
      <c r="E31" s="3">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41F46-7954-4E1F-A8C0-1CA1BB3AB3F0}">
  <dimension ref="A1:L27"/>
  <sheetViews>
    <sheetView zoomScale="98" zoomScaleNormal="77" workbookViewId="0">
      <selection activeCell="F23" sqref="F23"/>
    </sheetView>
  </sheetViews>
  <sheetFormatPr defaultRowHeight="14.4" x14ac:dyDescent="0.3"/>
  <cols>
    <col min="2" max="2" width="15.33203125" bestFit="1" customWidth="1"/>
    <col min="3" max="3" width="22.21875" bestFit="1" customWidth="1"/>
    <col min="4" max="4" width="11.21875" bestFit="1" customWidth="1"/>
    <col min="5" max="5" width="26.5546875" bestFit="1" customWidth="1"/>
    <col min="6" max="6" width="15.88671875" bestFit="1" customWidth="1"/>
    <col min="8" max="8" width="24.33203125" bestFit="1" customWidth="1"/>
    <col min="9" max="9" width="21.77734375" bestFit="1" customWidth="1"/>
    <col min="11" max="11" width="13.77734375" bestFit="1" customWidth="1"/>
    <col min="12" max="12" width="12.109375" bestFit="1" customWidth="1"/>
  </cols>
  <sheetData>
    <row r="1" spans="1:12" ht="15" thickBot="1" x14ac:dyDescent="0.35"/>
    <row r="2" spans="1:12" ht="14.4" customHeight="1" thickTop="1" x14ac:dyDescent="0.3">
      <c r="B2" s="17" t="s">
        <v>240</v>
      </c>
      <c r="C2" s="18"/>
      <c r="D2" s="18"/>
      <c r="E2" s="18"/>
      <c r="F2" s="18"/>
      <c r="G2" s="18"/>
      <c r="H2" s="18"/>
      <c r="I2" s="18"/>
      <c r="J2" s="19"/>
      <c r="K2" s="14"/>
    </row>
    <row r="3" spans="1:12" ht="14.4" customHeight="1" x14ac:dyDescent="0.3">
      <c r="A3" s="10"/>
      <c r="B3" s="20"/>
      <c r="C3" s="21"/>
      <c r="D3" s="21"/>
      <c r="E3" s="21"/>
      <c r="F3" s="21"/>
      <c r="G3" s="21"/>
      <c r="H3" s="21"/>
      <c r="I3" s="21"/>
      <c r="J3" s="22"/>
      <c r="K3" s="14"/>
    </row>
    <row r="4" spans="1:12" ht="14.4" customHeight="1" thickBot="1" x14ac:dyDescent="0.35">
      <c r="B4" s="23"/>
      <c r="C4" s="24"/>
      <c r="D4" s="24"/>
      <c r="E4" s="24"/>
      <c r="F4" s="24"/>
      <c r="G4" s="24"/>
      <c r="H4" s="24"/>
      <c r="I4" s="24"/>
      <c r="J4" s="25"/>
      <c r="K4" s="14"/>
    </row>
    <row r="5" spans="1:12" ht="15" thickTop="1" x14ac:dyDescent="0.3">
      <c r="B5" s="12"/>
      <c r="C5" s="12"/>
      <c r="D5" s="12"/>
      <c r="E5" s="12"/>
      <c r="F5" s="12"/>
      <c r="G5" s="12"/>
      <c r="H5" s="12"/>
      <c r="I5" s="12"/>
      <c r="J5" s="12"/>
    </row>
    <row r="6" spans="1:12" x14ac:dyDescent="0.3">
      <c r="B6" s="1" t="s">
        <v>253</v>
      </c>
      <c r="C6" t="s">
        <v>252</v>
      </c>
      <c r="E6" s="1" t="s">
        <v>255</v>
      </c>
      <c r="F6" t="s">
        <v>254</v>
      </c>
      <c r="H6" s="1" t="s">
        <v>256</v>
      </c>
      <c r="I6" t="s">
        <v>252</v>
      </c>
    </row>
    <row r="7" spans="1:12" x14ac:dyDescent="0.3">
      <c r="B7" s="8" t="s">
        <v>249</v>
      </c>
      <c r="C7" s="3">
        <v>509</v>
      </c>
      <c r="E7" s="2" t="s">
        <v>29</v>
      </c>
      <c r="F7" s="3">
        <v>44</v>
      </c>
      <c r="H7" s="2" t="s">
        <v>38</v>
      </c>
      <c r="I7" s="3">
        <v>13956</v>
      </c>
    </row>
    <row r="8" spans="1:12" x14ac:dyDescent="0.3">
      <c r="B8" s="8" t="s">
        <v>250</v>
      </c>
      <c r="C8" s="3">
        <v>3198</v>
      </c>
      <c r="E8" s="2" t="s">
        <v>41</v>
      </c>
      <c r="F8" s="3">
        <v>52</v>
      </c>
      <c r="H8" s="2" t="s">
        <v>43</v>
      </c>
      <c r="I8" s="3">
        <v>19960</v>
      </c>
    </row>
    <row r="9" spans="1:12" x14ac:dyDescent="0.3">
      <c r="B9" s="8" t="s">
        <v>251</v>
      </c>
      <c r="C9" s="3">
        <v>3707</v>
      </c>
      <c r="E9" s="2" t="s">
        <v>24</v>
      </c>
      <c r="F9" s="3">
        <v>47</v>
      </c>
      <c r="H9" s="2" t="s">
        <v>26</v>
      </c>
      <c r="I9" s="3">
        <v>21218</v>
      </c>
    </row>
    <row r="10" spans="1:12" x14ac:dyDescent="0.3">
      <c r="E10" s="2" t="s">
        <v>15</v>
      </c>
      <c r="F10" s="3">
        <v>57</v>
      </c>
      <c r="H10" s="2" t="s">
        <v>23</v>
      </c>
      <c r="I10" s="3">
        <v>14995</v>
      </c>
      <c r="L10" s="11"/>
    </row>
    <row r="11" spans="1:12" ht="15" thickBot="1" x14ac:dyDescent="0.35">
      <c r="E11" s="2" t="s">
        <v>251</v>
      </c>
      <c r="F11" s="3">
        <v>200</v>
      </c>
      <c r="H11" s="2" t="s">
        <v>18</v>
      </c>
      <c r="I11" s="3">
        <v>21098</v>
      </c>
    </row>
    <row r="12" spans="1:12" ht="15" thickTop="1" x14ac:dyDescent="0.3">
      <c r="H12" s="2" t="s">
        <v>251</v>
      </c>
      <c r="I12" s="3">
        <v>91227</v>
      </c>
      <c r="L12" s="13"/>
    </row>
    <row r="14" spans="1:12" x14ac:dyDescent="0.3">
      <c r="B14" s="1" t="s">
        <v>257</v>
      </c>
      <c r="C14" t="s">
        <v>254</v>
      </c>
      <c r="E14" s="1" t="s">
        <v>258</v>
      </c>
      <c r="F14" t="s">
        <v>254</v>
      </c>
      <c r="K14" s="15"/>
    </row>
    <row r="15" spans="1:12" x14ac:dyDescent="0.3">
      <c r="B15" s="2" t="s">
        <v>27</v>
      </c>
      <c r="C15" s="3">
        <v>27</v>
      </c>
      <c r="E15" s="2" t="s">
        <v>28</v>
      </c>
      <c r="F15" s="3">
        <v>24</v>
      </c>
    </row>
    <row r="16" spans="1:12" x14ac:dyDescent="0.3">
      <c r="B16" s="2" t="s">
        <v>56</v>
      </c>
      <c r="C16" s="3">
        <v>33</v>
      </c>
      <c r="E16" s="2" t="s">
        <v>47</v>
      </c>
      <c r="F16" s="3">
        <v>33</v>
      </c>
    </row>
    <row r="17" spans="2:9" x14ac:dyDescent="0.3">
      <c r="B17" s="2" t="s">
        <v>19</v>
      </c>
      <c r="C17" s="3">
        <v>38</v>
      </c>
      <c r="E17" s="2" t="s">
        <v>35</v>
      </c>
      <c r="F17" s="3">
        <v>37</v>
      </c>
      <c r="H17" s="1" t="s">
        <v>259</v>
      </c>
      <c r="I17" t="s">
        <v>254</v>
      </c>
    </row>
    <row r="18" spans="2:9" x14ac:dyDescent="0.3">
      <c r="B18" s="2" t="s">
        <v>13</v>
      </c>
      <c r="C18" s="3">
        <v>37</v>
      </c>
      <c r="E18" s="2" t="s">
        <v>20</v>
      </c>
      <c r="F18" s="3">
        <v>33</v>
      </c>
      <c r="H18" s="2" t="s">
        <v>16</v>
      </c>
      <c r="I18" s="3">
        <v>112</v>
      </c>
    </row>
    <row r="19" spans="2:9" x14ac:dyDescent="0.3">
      <c r="B19" s="2" t="s">
        <v>46</v>
      </c>
      <c r="C19" s="3">
        <v>33</v>
      </c>
      <c r="E19" s="2" t="s">
        <v>14</v>
      </c>
      <c r="F19" s="3">
        <v>34</v>
      </c>
      <c r="H19" s="2" t="s">
        <v>21</v>
      </c>
      <c r="I19" s="3">
        <v>88</v>
      </c>
    </row>
    <row r="20" spans="2:9" x14ac:dyDescent="0.3">
      <c r="B20" s="2" t="s">
        <v>52</v>
      </c>
      <c r="C20" s="3">
        <v>32</v>
      </c>
      <c r="E20" s="2" t="s">
        <v>31</v>
      </c>
      <c r="F20" s="3">
        <v>39</v>
      </c>
      <c r="H20" s="2" t="s">
        <v>251</v>
      </c>
      <c r="I20" s="3">
        <v>200</v>
      </c>
    </row>
    <row r="21" spans="2:9" x14ac:dyDescent="0.3">
      <c r="B21" s="2" t="s">
        <v>251</v>
      </c>
      <c r="C21" s="3">
        <v>200</v>
      </c>
      <c r="E21" s="2" t="s">
        <v>251</v>
      </c>
      <c r="F21" s="3">
        <v>200</v>
      </c>
    </row>
    <row r="26" spans="2:9" x14ac:dyDescent="0.3">
      <c r="G26" s="9"/>
    </row>
    <row r="27" spans="2:9" x14ac:dyDescent="0.3">
      <c r="F27" s="10"/>
    </row>
  </sheetData>
  <mergeCells count="1">
    <mergeCell ref="B2:J4"/>
  </mergeCell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Sheet7</vt:lpstr>
      <vt:lpstr>Dashboard</vt:lpstr>
      <vt:lpstr>Data</vt:lpstr>
      <vt:lpstr>Sheet6</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Sheeba</dc:creator>
  <cp:lastModifiedBy>Mary Sheeba</cp:lastModifiedBy>
  <dcterms:created xsi:type="dcterms:W3CDTF">2015-06-05T18:17:20Z</dcterms:created>
  <dcterms:modified xsi:type="dcterms:W3CDTF">2025-12-19T07:43:15Z</dcterms:modified>
</cp:coreProperties>
</file>